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mc:AlternateContent xmlns:mc="http://schemas.openxmlformats.org/markup-compatibility/2006">
    <mc:Choice Requires="x15">
      <x15ac:absPath xmlns:x15ac="http://schemas.microsoft.com/office/spreadsheetml/2010/11/ac" url="C:\Users\USER\Desktop\"/>
    </mc:Choice>
  </mc:AlternateContent>
  <xr:revisionPtr revIDLastSave="0" documentId="8_{48B8220A-1A6A-4B65-AED0-6F75188DF718}" xr6:coauthVersionLast="43" xr6:coauthVersionMax="43" xr10:uidLastSave="{00000000-0000-0000-0000-000000000000}"/>
  <bookViews>
    <workbookView xWindow="-110" yWindow="-110" windowWidth="19420" windowHeight="10420" firstSheet="1" activeTab="2" xr2:uid="{00000000-000D-0000-FFFF-FFFF00000000}"/>
  </bookViews>
  <sheets>
    <sheet name="Analysis" sheetId="4" r:id="rId1"/>
    <sheet name="HR Dashboard" sheetId="5" r:id="rId2"/>
    <sheet name="Raw_Employee_Data" sheetId="1" r:id="rId3"/>
    <sheet name="Lookup_Departments" sheetId="2" r:id="rId4"/>
    <sheet name="Lookup_Performance" sheetId="3" r:id="rId5"/>
  </sheets>
  <definedNames>
    <definedName name="Slicer_EmploymentStatus2">#N/A</definedName>
  </definedNames>
  <calcPr calcId="18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2" i="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2" i="1"/>
  <c r="I2" i="1" s="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3" i="1"/>
  <c r="D2" i="1"/>
  <c r="F2" i="1"/>
  <c r="F3"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4" i="1"/>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2" i="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2" i="1"/>
</calcChain>
</file>

<file path=xl/sharedStrings.xml><?xml version="1.0" encoding="utf-8"?>
<sst xmlns="http://schemas.openxmlformats.org/spreadsheetml/2006/main" count="826" uniqueCount="236">
  <si>
    <t>Emp ID</t>
  </si>
  <si>
    <t>First_Name</t>
  </si>
  <si>
    <t>Last_Name</t>
  </si>
  <si>
    <t>Hire Date</t>
  </si>
  <si>
    <t>Salary</t>
  </si>
  <si>
    <t>Perf_Score</t>
  </si>
  <si>
    <t>EMP127</t>
  </si>
  <si>
    <t>Emily</t>
  </si>
  <si>
    <t>Brown</t>
  </si>
  <si>
    <t>IT02</t>
  </si>
  <si>
    <t>active</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</si>
  <si>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</si>
  <si>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</si>
  <si>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</si>
  <si>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</si>
  <si>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</si>
  <si>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</si>
  <si>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</si>
  <si>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</si>
  <si>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</si>
  <si>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</si>
  <si>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</si>
  <si>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</si>
  <si>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</si>
  <si>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</si>
  <si>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</si>
  <si>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</si>
  <si>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</si>
  <si>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</si>
  <si>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</si>
  <si>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</si>
  <si>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</si>
  <si>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</si>
  <si>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</si>
  <si>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</si>
  <si>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</si>
  <si>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</si>
  <si>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</si>
  <si>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</si>
  <si>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</si>
  <si>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</si>
  <si>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</si>
  <si>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</si>
  <si>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</si>
  <si>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</si>
  <si>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</si>
  <si>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</si>
  <si>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</si>
  <si>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</si>
  <si>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</si>
  <si>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</si>
  <si>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</si>
  <si>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</si>
  <si>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</si>
  <si>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</si>
  <si>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</si>
  <si>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</si>
  <si>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</si>
  <si>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</si>
  <si>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</si>
  <si>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</si>
  <si>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</si>
  <si>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</si>
  <si>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</si>
  <si>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</si>
  <si>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</si>
  <si>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</si>
  <si>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</si>
  <si>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</si>
  <si>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</si>
  <si>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</si>
  <si>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</si>
  <si>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</si>
  <si>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</si>
  <si>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</si>
  <si>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</si>
  <si>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</si>
  <si>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</si>
  <si>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</si>
  <si>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</si>
  <si>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left</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</si>
  <si>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</si>
  <si>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</si>
  <si>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</si>
  <si>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</si>
  <si>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</si>
  <si>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</si>
  <si>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</si>
  <si>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</si>
  <si>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</si>
  <si>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</si>
  <si>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</si>
  <si>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</si>
  <si>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</si>
  <si>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</si>
  <si>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</si>
  <si>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</si>
  <si>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</si>
  <si>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</si>
  <si>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</si>
  <si>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</si>
  <si>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</si>
  <si>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</si>
  <si>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</si>
  <si>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</si>
  <si>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</si>
  <si>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</si>
  <si>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</si>
  <si>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</si>
  <si>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</si>
  <si>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</si>
  <si>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</si>
  <si>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</si>
  <si>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</si>
  <si>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</si>
  <si>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</si>
  <si>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</si>
  <si>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</si>
  <si>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</si>
  <si>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</si>
  <si>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</si>
  <si>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</si>
  <si>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</si>
  <si>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</si>
  <si>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</si>
  <si>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</si>
  <si>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</si>
  <si>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</si>
  <si>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</si>
  <si>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</si>
  <si>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</si>
  <si>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</si>
  <si>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</si>
  <si>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</si>
  <si>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</si>
  <si>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</si>
  <si>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</si>
  <si>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</si>
  <si>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</si>
  <si>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</si>
  <si>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</si>
  <si>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</si>
  <si>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</si>
  <si>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</si>
  <si>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</si>
  <si>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</si>
  <si>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</si>
  <si>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</si>
  <si>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</si>
  <si>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</si>
  <si>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</si>
  <si>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</si>
  <si>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</si>
  <si>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</si>
  <si>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</si>
  <si>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</si>
  <si>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</si>
  <si>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</si>
  <si>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</si>
  <si>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</si>
  <si>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</si>
  <si>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</si>
  <si>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</si>
  <si>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</si>
  <si>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</si>
  <si>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</si>
  <si>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</si>
  <si>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</si>
  <si>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</si>
  <si>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</si>
  <si>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</si>
  <si>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</si>
  <si>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</si>
  <si>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</si>
  <si>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</si>
  <si>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</si>
  <si>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</si>
  <si>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</si>
  <si>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</si>
  <si>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</si>
  <si>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</si>
  <si>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</si>
  <si>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</si>
  <si>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</si>
  <si>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</si>
  <si>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</si>
  <si>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</si>
  <si>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</si>
  <si>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</si>
  <si>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</si>
  <si>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</si>
  <si>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</si>
  <si>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</si>
  <si>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</si>
  <si>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</si>
  <si>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</si>
  <si>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</si>
  <si>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</si>
  <si>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</si>
  <si>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</si>
  <si>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</si>
  <si>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</si>
  <si>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</si>
  <si>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</si>
  <si>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</si>
  <si>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</si>
  <si>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</si>
  <si>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</si>
  <si>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</si>
  <si>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</si>
  <si>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</si>
  <si>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</si>
  <si>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</si>
  <si>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</si>
  <si>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Unknown</t>
  </si>
  <si>
    <t>EmploymentStatus</t>
  </si>
  <si>
    <t>ACTIVE</t>
  </si>
  <si>
    <t>LEFT</t>
  </si>
  <si>
    <t>DeptCode</t>
  </si>
  <si>
    <t>Department Name</t>
  </si>
  <si>
    <t>Full_Name</t>
  </si>
  <si>
    <t>Years of Service</t>
  </si>
  <si>
    <t>Performance Band</t>
  </si>
  <si>
    <t>Bonus Percentage</t>
  </si>
  <si>
    <t>Eligible Bonus Amount</t>
  </si>
  <si>
    <t>Row Labels</t>
  </si>
  <si>
    <t>Grand Total</t>
  </si>
  <si>
    <t>Average of Salary</t>
  </si>
  <si>
    <t>Headcount</t>
  </si>
  <si>
    <t>Employment_Status</t>
  </si>
  <si>
    <t>Column Labels</t>
  </si>
  <si>
    <t>Count of Emp ID</t>
  </si>
  <si>
    <t>Average of Perf_Score</t>
  </si>
  <si>
    <t>Sum of Eligible Bonus Amount</t>
  </si>
  <si>
    <t>Departments</t>
  </si>
  <si>
    <t xml:space="preserve">Today's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</si>
</sst>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0"/>
    <numFmt numFmtId="168" formatCode="&quot;$&quot;#,##0.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 fontId="0" fillId="0" borderId="0" xfId="0" applyNumberFormat="1"/>
    <xf numFmtId="49" fontId="0" fillId="0" borderId="0" xfId="0" applyNumberFormat="1"/>
    <xf numFmtId="0" fontId="0" fillId="0" borderId="0" xfId="0" applyNumberFormat="1"/>
    <xf numFmtId="2" fontId="0" fillId="0" borderId="0" xfId="0" applyNumberFormat="1"/>
    <xf numFmtId="9" fontId="0" fillId="0" borderId="0" xfId="0" applyNumberFormat="1"/>
    <xf numFmtId="168" fontId="0" fillId="0" borderId="0" xfId="0" applyNumberFormat="1"/>
    <xf numFmtId="0" fontId="1" fillId="0" borderId="2" xfId="0" applyFont="1" applyBorder="1" applyAlignment="1">
      <alignment horizontal="center" vertical="top"/>
    </xf>
    <xf numFmtId="49" fontId="1" fillId="0" borderId="2" xfId="0" applyNumberFormat="1"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2"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0"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6">
    <dxf>
      <numFmt numFmtId="168" formatCode="&quot;$&quot;#,##0.00"/>
    </dxf>
    <dxf>
      <numFmt numFmtId="168" formatCode="&quot;$&quot;#,##0.00"/>
    </dxf>
    <dxf>
      <numFmt numFmtId="0" formatCode="General"/>
    </dxf>
    <dxf>
      <numFmt numFmtId="30" formatCode="@"/>
    </dxf>
    <dxf>
      <numFmt numFmtId="1" formatCode="0"/>
    </dxf>
    <dxf>
      <numFmt numFmtId="165" formatCode="&quot;$&quot;#,##0"/>
    </dxf>
    <dxf>
      <numFmt numFmtId="13" formatCode="0%"/>
    </dxf>
    <dxf>
      <numFmt numFmtId="165" formatCode="&quot;$&quot;#,##0"/>
    </dxf>
    <dxf>
      <numFmt numFmtId="0" formatCode="General"/>
    </dxf>
    <dxf>
      <numFmt numFmtId="164" formatCode="[$-F800]dddd\,\ mmmm\ dd\,\ yyyy"/>
    </dxf>
    <dxf>
      <numFmt numFmtId="164" formatCode="[$-F800]dddd\,\ mmmm\ dd\,\ yyyy"/>
    </dxf>
    <dxf>
      <numFmt numFmtId="30" formatCode="@"/>
    </dxf>
    <dxf>
      <numFmt numFmtId="30" formatCode="@"/>
    </dxf>
    <dxf>
      <numFmt numFmtId="30" formatCode="@"/>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Employee</a:t>
            </a:r>
          </a:p>
        </c:rich>
      </c:tx>
      <c:layout>
        <c:manualLayout>
          <c:xMode val="edge"/>
          <c:yMode val="edge"/>
          <c:x val="0.22782006920415224"/>
          <c:y val="5.9574468085106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Finance</c:v>
              </c:pt>
              <c:pt idx="1">
                <c:v>Human Resources</c:v>
              </c:pt>
              <c:pt idx="2">
                <c:v>Information Technology</c:v>
              </c:pt>
              <c:pt idx="3">
                <c:v>Marketing</c:v>
              </c:pt>
              <c:pt idx="4">
                <c:v>Operations</c:v>
              </c:pt>
              <c:pt idx="5">
                <c:v>Sales</c:v>
              </c:pt>
            </c:strLit>
          </c:cat>
          <c:val>
            <c:numLit>
              <c:formatCode>General</c:formatCode>
              <c:ptCount val="6"/>
              <c:pt idx="0">
                <c:v>17</c:v>
              </c:pt>
              <c:pt idx="1">
                <c:v>18</c:v>
              </c:pt>
              <c:pt idx="2">
                <c:v>36</c:v>
              </c:pt>
              <c:pt idx="3">
                <c:v>19</c:v>
              </c:pt>
              <c:pt idx="4">
                <c:v>29</c:v>
              </c:pt>
              <c:pt idx="5">
                <c:v>31</c:v>
              </c:pt>
            </c:numLit>
          </c:val>
          <c:extLst>
            <c:ext xmlns:c16="http://schemas.microsoft.com/office/drawing/2014/chart" uri="{C3380CC4-5D6E-409C-BE32-E72D297353CC}">
              <c16:uniqueId val="{00000000-E0D0-471B-9BFA-C7E936B68CDA}"/>
            </c:ext>
          </c:extLst>
        </c:ser>
        <c:dLbls>
          <c:showLegendKey val="0"/>
          <c:showVal val="0"/>
          <c:showCatName val="0"/>
          <c:showSerName val="0"/>
          <c:showPercent val="0"/>
          <c:showBubbleSize val="0"/>
        </c:dLbls>
        <c:gapWidth val="219"/>
        <c:overlap val="-27"/>
        <c:axId val="1001263440"/>
        <c:axId val="1517440912"/>
      </c:barChart>
      <c:catAx>
        <c:axId val="10012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40912"/>
        <c:crosses val="autoZero"/>
        <c:auto val="1"/>
        <c:lblAlgn val="ctr"/>
        <c:lblOffset val="100"/>
        <c:noMultiLvlLbl val="0"/>
      </c:catAx>
      <c:valAx>
        <c:axId val="15174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6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[HR_Capstone_Completed_Akiyode_Abdul-Hakeem.xlsx]Analysis!PivotTable2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Analysis!$B$16:$B$17</c:f>
              <c:strCache>
                <c:ptCount val="1"/>
                <c:pt idx="0">
                  <c:v>Active</c:v>
                </c:pt>
              </c:strCache>
            </c:strRef>
          </c:tx>
          <c:spPr>
            <a:solidFill>
              <a:schemeClr val="accent1"/>
            </a:solidFill>
            <a:ln>
              <a:noFill/>
            </a:ln>
            <a:effectLst/>
          </c:spPr>
          <c:invertIfNegative val="0"/>
          <c:cat>
            <c:strRef>
              <c:f>Analysis!$A$18:$A$24</c:f>
              <c:strCache>
                <c:ptCount val="6"/>
                <c:pt idx="0">
                  <c:v>Finance</c:v>
                </c:pt>
                <c:pt idx="1">
                  <c:v>Human Resources</c:v>
                </c:pt>
                <c:pt idx="2">
                  <c:v>Information Technology</c:v>
                </c:pt>
                <c:pt idx="3">
                  <c:v>Marketing</c:v>
                </c:pt>
                <c:pt idx="4">
                  <c:v>Operations</c:v>
                </c:pt>
                <c:pt idx="5">
                  <c:v>Sales</c:v>
                </c:pt>
              </c:strCache>
            </c:strRef>
          </c:cat>
          <c:val>
            <c:numRef>
              <c:f>Analysis!$B$18:$B$24</c:f>
              <c:numCache>
                <c:formatCode>0.00%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AA52-455B-870B-190B327E8C13}"/>
            </c:ext>
          </c:extLst>
        </c:ser>
        <c:ser>
          <c:idx val="1"/>
          <c:order val="1"/>
          <c:tx>
            <c:strRef>
              <c:f>Analysis!$C$16:$C$17</c:f>
              <c:strCache>
                <c:ptCount val="1"/>
                <c:pt idx="0">
                  <c:v>Left</c:v>
                </c:pt>
              </c:strCache>
            </c:strRef>
          </c:tx>
          <c:spPr>
            <a:solidFill>
              <a:schemeClr val="accent2"/>
            </a:solidFill>
            <a:ln>
              <a:noFill/>
            </a:ln>
            <a:effectLst/>
          </c:spPr>
          <c:invertIfNegative val="0"/>
          <c:cat>
            <c:strRef>
              <c:f>Analysis!$A$18:$A$24</c:f>
              <c:strCache>
                <c:ptCount val="6"/>
                <c:pt idx="0">
                  <c:v>Finance</c:v>
                </c:pt>
                <c:pt idx="1">
                  <c:v>Human Resources</c:v>
                </c:pt>
                <c:pt idx="2">
                  <c:v>Information Technology</c:v>
                </c:pt>
                <c:pt idx="3">
                  <c:v>Marketing</c:v>
                </c:pt>
                <c:pt idx="4">
                  <c:v>Operations</c:v>
                </c:pt>
                <c:pt idx="5">
                  <c:v>Sales</c:v>
                </c:pt>
              </c:strCache>
            </c:strRef>
          </c:cat>
          <c:val>
            <c:numRef>
              <c:f>Analysis!$C$18:$C$24</c:f>
              <c:numCache>
                <c:formatCode>0.00%</c:formatCode>
                <c:ptCount val="6"/>
                <c:pt idx="0">
                  <c:v>0.17647058823529413</c:v>
                </c:pt>
                <c:pt idx="1">
                  <c:v>0.1111111111111111</c:v>
                </c:pt>
                <c:pt idx="2">
                  <c:v>0.16666666666666666</c:v>
                </c:pt>
                <c:pt idx="3">
                  <c:v>0.15789473684210525</c:v>
                </c:pt>
                <c:pt idx="4">
                  <c:v>0.20689655172413793</c:v>
                </c:pt>
                <c:pt idx="5">
                  <c:v>0.12903225806451613</c:v>
                </c:pt>
              </c:numCache>
            </c:numRef>
          </c:val>
          <c:extLst>
            <c:ext xmlns:c16="http://schemas.microsoft.com/office/drawing/2014/chart" uri="{C3380CC4-5D6E-409C-BE32-E72D297353CC}">
              <c16:uniqueId val="{00000007-AA52-455B-870B-190B327E8C13}"/>
            </c:ext>
          </c:extLst>
        </c:ser>
        <c:ser>
          <c:idx val="2"/>
          <c:order val="2"/>
          <c:tx>
            <c:strRef>
              <c:f>Analysis!$D$16:$D$17</c:f>
              <c:strCache>
                <c:ptCount val="1"/>
                <c:pt idx="0">
                  <c:v>Resigned</c:v>
                </c:pt>
              </c:strCache>
            </c:strRef>
          </c:tx>
          <c:spPr>
            <a:solidFill>
              <a:schemeClr val="accent3"/>
            </a:solidFill>
            <a:ln>
              <a:noFill/>
            </a:ln>
            <a:effectLst/>
          </c:spPr>
          <c:invertIfNegative val="0"/>
          <c:cat>
            <c:strRef>
              <c:f>Analysis!$A$18:$A$24</c:f>
              <c:strCache>
                <c:ptCount val="6"/>
                <c:pt idx="0">
                  <c:v>Finance</c:v>
                </c:pt>
                <c:pt idx="1">
                  <c:v>Human Resources</c:v>
                </c:pt>
                <c:pt idx="2">
                  <c:v>Information Technology</c:v>
                </c:pt>
                <c:pt idx="3">
                  <c:v>Marketing</c:v>
                </c:pt>
                <c:pt idx="4">
                  <c:v>Operations</c:v>
                </c:pt>
                <c:pt idx="5">
                  <c:v>Sales</c:v>
                </c:pt>
              </c:strCache>
            </c:strRef>
          </c:cat>
          <c:val>
            <c:numRef>
              <c:f>Analysis!$D$18:$D$24</c:f>
              <c:numCache>
                <c:formatCode>0.00%</c:formatCode>
                <c:ptCount val="6"/>
                <c:pt idx="0">
                  <c:v>0</c:v>
                </c:pt>
                <c:pt idx="1">
                  <c:v>5.5555555555555552E-2</c:v>
                </c:pt>
                <c:pt idx="2">
                  <c:v>5.5555555555555552E-2</c:v>
                </c:pt>
                <c:pt idx="3">
                  <c:v>0</c:v>
                </c:pt>
                <c:pt idx="4">
                  <c:v>0.17241379310344829</c:v>
                </c:pt>
                <c:pt idx="5">
                  <c:v>6.4516129032258063E-2</c:v>
                </c:pt>
              </c:numCache>
            </c:numRef>
          </c:val>
          <c:extLst>
            <c:ext xmlns:c16="http://schemas.microsoft.com/office/drawing/2014/chart" uri="{C3380CC4-5D6E-409C-BE32-E72D297353CC}">
              <c16:uniqueId val="{00000008-AA52-455B-870B-190B327E8C13}"/>
            </c:ext>
          </c:extLst>
        </c:ser>
        <c:dLbls>
          <c:showLegendKey val="0"/>
          <c:showVal val="0"/>
          <c:showCatName val="0"/>
          <c:showSerName val="0"/>
          <c:showPercent val="0"/>
          <c:showBubbleSize val="0"/>
        </c:dLbls>
        <c:gapWidth val="219"/>
        <c:overlap val="-27"/>
        <c:axId val="1519513712"/>
        <c:axId val="1517436752"/>
      </c:barChart>
      <c:catAx>
        <c:axId val="15195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6752"/>
        <c:crosses val="autoZero"/>
        <c:auto val="1"/>
        <c:lblAlgn val="ctr"/>
        <c:lblOffset val="100"/>
        <c:noMultiLvlLbl val="0"/>
      </c:catAx>
      <c:valAx>
        <c:axId val="1517436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1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482600</xdr:colOff>
      <xdr:row>3</xdr:row>
      <xdr:rowOff>12700</xdr:rowOff>
    </xdr:from>
    <xdr:to>
      <xdr:col>16</xdr:col>
      <xdr:colOff>152400</xdr:colOff>
      <xdr:row>19</xdr:row>
      <xdr:rowOff>82550</xdr:rowOff>
    </xdr:to>
    <xdr:sp macro="" textlink="">
      <xdr:nvSpPr>
        <xdr:cNvPr id="5" name="Rectangle: Rounded Corners 4">
          <a:extLst>
            <a:ext uri="{FF2B5EF4-FFF2-40B4-BE49-F238E27FC236}">
              <a16:creationId xmlns:a16="http://schemas.microsoft.com/office/drawing/2014/main" id="{738BBCA4-70F9-4B1D-8D00-DC3E4280388F}"/>
            </a:ext>
          </a:extLst>
        </xdr:cNvPr>
        <xdr:cNvSpPr/>
      </xdr:nvSpPr>
      <xdr:spPr>
        <a:xfrm>
          <a:off x="4749800" y="565150"/>
          <a:ext cx="5156200" cy="301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 have 150 employees is nice but at a closer glimpse, we saw some exployees had either</a:t>
          </a:r>
          <a:r>
            <a:rPr lang="en-US" sz="1100" baseline="0"/>
            <a:t> left or resigned which meant, we had less than 150 employees who were actually working. We decided to compare the percentages and the result of our analysis was, Finance has 82% of their actual staffs working, Human Resources has 83%, IT has 78%, Marketing has 84%, Operations has 62% and Sales has 81%.</a:t>
          </a:r>
          <a:endParaRPr lang="en-US" sz="1100"/>
        </a:p>
      </xdr:txBody>
    </xdr:sp>
    <xdr:clientData/>
  </xdr:twoCellAnchor>
  <xdr:twoCellAnchor>
    <xdr:from>
      <xdr:col>0</xdr:col>
      <xdr:colOff>222250</xdr:colOff>
      <xdr:row>2</xdr:row>
      <xdr:rowOff>69850</xdr:rowOff>
    </xdr:from>
    <xdr:to>
      <xdr:col>7</xdr:col>
      <xdr:colOff>44450</xdr:colOff>
      <xdr:row>18</xdr:row>
      <xdr:rowOff>120650</xdr:rowOff>
    </xdr:to>
    <xdr:sp macro="" textlink="">
      <xdr:nvSpPr>
        <xdr:cNvPr id="3" name="Rectangle: Rounded Corners 2">
          <a:extLst>
            <a:ext uri="{FF2B5EF4-FFF2-40B4-BE49-F238E27FC236}">
              <a16:creationId xmlns:a16="http://schemas.microsoft.com/office/drawing/2014/main" id="{96F3E5A5-351E-40CA-8D26-E3448A068DCB}"/>
            </a:ext>
          </a:extLst>
        </xdr:cNvPr>
        <xdr:cNvSpPr/>
      </xdr:nvSpPr>
      <xdr:spPr>
        <a:xfrm>
          <a:off x="222250" y="438150"/>
          <a:ext cx="4089400" cy="299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There are a total six departments in the company with a total number of 150 employees.</a:t>
          </a:r>
        </a:p>
        <a:p>
          <a:pPr algn="l"/>
          <a:r>
            <a:rPr lang="en-US" sz="1100"/>
            <a:t>17 employees work in Finance, 18 employees work in Human Resources, 36 employees work in Information Technology, 19 emloyees work in Marketing, 29 employees work in Operations and 31 employees work in Sales.</a:t>
          </a:r>
        </a:p>
      </xdr:txBody>
    </xdr:sp>
    <xdr:clientData/>
  </xdr:twoCellAnchor>
  <xdr:twoCellAnchor>
    <xdr:from>
      <xdr:col>0</xdr:col>
      <xdr:colOff>444500</xdr:colOff>
      <xdr:row>10</xdr:row>
      <xdr:rowOff>63500</xdr:rowOff>
    </xdr:from>
    <xdr:to>
      <xdr:col>6</xdr:col>
      <xdr:colOff>463550</xdr:colOff>
      <xdr:row>17</xdr:row>
      <xdr:rowOff>171450</xdr:rowOff>
    </xdr:to>
    <xdr:graphicFrame macro="">
      <xdr:nvGraphicFramePr>
        <xdr:cNvPr id="2" name="Chart 1">
          <a:extLst>
            <a:ext uri="{FF2B5EF4-FFF2-40B4-BE49-F238E27FC236}">
              <a16:creationId xmlns:a16="http://schemas.microsoft.com/office/drawing/2014/main" id="{BBDB685D-9222-4511-9737-CAA3BEC86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69850</xdr:colOff>
      <xdr:row>9</xdr:row>
      <xdr:rowOff>127000</xdr:rowOff>
    </xdr:from>
    <xdr:to>
      <xdr:col>14</xdr:col>
      <xdr:colOff>558800</xdr:colOff>
      <xdr:row>18</xdr:row>
      <xdr:rowOff>127000</xdr:rowOff>
    </xdr:to>
    <xdr:graphicFrame macro="">
      <xdr:nvGraphicFramePr>
        <xdr:cNvPr id="4" name="Chart 3">
          <a:extLst>
            <a:ext uri="{FF2B5EF4-FFF2-40B4-BE49-F238E27FC236}">
              <a16:creationId xmlns:a16="http://schemas.microsoft.com/office/drawing/2014/main" id="{4601060C-3AD4-45B5-9562-038740AA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139700</xdr:colOff>
      <xdr:row>20</xdr:row>
      <xdr:rowOff>158750</xdr:rowOff>
    </xdr:from>
    <xdr:to>
      <xdr:col>11</xdr:col>
      <xdr:colOff>463550</xdr:colOff>
      <xdr:row>36</xdr:row>
      <xdr:rowOff>69850</xdr:rowOff>
    </xdr:to>
    <xdr:sp macro="" textlink="">
      <xdr:nvSpPr>
        <xdr:cNvPr id="6" name="Rectangle: Rounded Corners 5">
          <a:extLst>
            <a:ext uri="{FF2B5EF4-FFF2-40B4-BE49-F238E27FC236}">
              <a16:creationId xmlns:a16="http://schemas.microsoft.com/office/drawing/2014/main" id="{351B47BD-9E2A-4A4E-922D-8FBAADCC6EA7}"/>
            </a:ext>
          </a:extLst>
        </xdr:cNvPr>
        <xdr:cNvSpPr/>
      </xdr:nvSpPr>
      <xdr:spPr>
        <a:xfrm>
          <a:off x="3187700" y="3841750"/>
          <a:ext cx="3981450" cy="2857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Lastly, we looked at the average salary of each departments and it</a:t>
          </a:r>
          <a:r>
            <a:rPr lang="en-US" sz="1100" baseline="0"/>
            <a:t> was calculated to be:Finance-$87,174. Human Resources-85,536. Information Technology-$80,513. Marketing-$85,408. Operations-$80,050. Sales-$86,333.</a:t>
          </a:r>
          <a:endParaRPr lang="en-US" sz="1100"/>
        </a:p>
      </xdr:txBody>
    </xdr:sp>
    <xdr:clientData/>
  </xdr:twoCellAnchor>
  <xdr:twoCellAnchor editAs="oneCell">
    <xdr:from>
      <xdr:col>6</xdr:col>
      <xdr:colOff>31751</xdr:colOff>
      <xdr:row>26</xdr:row>
      <xdr:rowOff>6351</xdr:rowOff>
    </xdr:from>
    <xdr:to>
      <xdr:col>11</xdr:col>
      <xdr:colOff>44451</xdr:colOff>
      <xdr:row>36</xdr:row>
      <xdr:rowOff>7647</xdr:rowOff>
    </xdr:to>
    <xdr:pic>
      <xdr:nvPicPr>
        <xdr:cNvPr id="7" name="Picture 6">
          <a:extLst>
            <a:ext uri="{FF2B5EF4-FFF2-40B4-BE49-F238E27FC236}">
              <a16:creationId xmlns:a16="http://schemas.microsoft.com/office/drawing/2014/main" id="{6A73B5A8-8A31-400C-938B-D832E207FEB7}"/>
            </a:ext>
          </a:extLst>
        </xdr:cNvPr>
        <xdr:cNvPicPr>
          <a:picLocks noChangeAspect="1"/>
        </xdr:cNvPicPr>
      </xdr:nvPicPr>
      <xdr:blipFill>
        <a:blip xmlns:r="http://schemas.openxmlformats.org/officeDocument/2006/relationships" r:embed="rId3"/>
        <a:stretch>
          <a:fillRect/>
        </a:stretch>
      </xdr:blipFill>
      <xdr:spPr>
        <a:xfrm>
          <a:off x="3689351" y="4794251"/>
          <a:ext cx="3060700" cy="1842796"/>
        </a:xfrm>
        <a:prstGeom prst="rect">
          <a:avLst/>
        </a:prstGeom>
      </xdr:spPr>
    </xdr:pic>
    <xdr:clientData/>
  </xdr:twoCellAnchor>
  <xdr:twoCellAnchor editAs="oneCell">
    <xdr:from>
      <xdr:col>15</xdr:col>
      <xdr:colOff>88900</xdr:colOff>
      <xdr:row>9</xdr:row>
      <xdr:rowOff>12701</xdr:rowOff>
    </xdr:from>
    <xdr:to>
      <xdr:col>17</xdr:col>
      <xdr:colOff>406400</xdr:colOff>
      <xdr:row>18</xdr:row>
      <xdr:rowOff>177801</xdr:rowOff>
    </xdr:to>
    <mc:AlternateContent xmlns:mc="http://schemas.openxmlformats.org/markup-compatibility/2006">
      <mc:Choice xmlns:a14="http://schemas.microsoft.com/office/drawing/2010/main" Requires="a14">
        <xdr:graphicFrame macro="">
          <xdr:nvGraphicFramePr>
            <xdr:cNvPr id="8" name="Employment_Status">
              <a:extLst>
                <a:ext uri="{FF2B5EF4-FFF2-40B4-BE49-F238E27FC236}">
                  <a16:creationId xmlns:a16="http://schemas.microsoft.com/office/drawing/2014/main" id="{5E242CF7-2B43-4E4C-A5EF-D9B868D1F4FD}"/>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dr:sp macro="" textlink="">
          <xdr:nvSpPr>
            <xdr:cNvPr id="0" name=""/>
            <xdr:cNvSpPr>
              <a:spLocks noTextEdit="1"/>
            </xdr:cNvSpPr>
          </xdr:nvSpPr>
          <xdr:spPr>
            <a:xfrm>
              <a:off x="9232900" y="1670051"/>
              <a:ext cx="1536700" cy="182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8.364688078706" createdVersion="6" refreshedVersion="6" minRefreshableVersion="3" recordCount="150" xr:uid="{5252A9B3-2E64-4D96-95B0-3A3FA89F8393}">
  <cacheSource type="worksheet">
    <worksheetSource name="Table1"/>
  </cacheSource>
  <cacheFields count="16">
    <cacheField name="Emp ID" numFmtId="0">
      <sharedItems/>
    </cacheField>
    <cacheField name="First_Name" numFmtId="49">
      <sharedItems/>
    </cacheField>
    <cacheField name="Last_Name" numFmtId="49">
      <sharedItems/>
    </cacheField>
    <cacheField name="Full_Name" numFmtId="49">
      <sharedItems count="109">
        <s v="Emily Brown"/>
        <s v="Richard Hernandez"/>
        <s v="Emily Gonzalez"/>
        <s v="John Martinez"/>
        <s v="Thomas Smith"/>
        <s v="Emily Johnson"/>
        <s v="John Wilson"/>
        <s v="Jessica Smith"/>
        <s v="Unknown Rodriguez"/>
        <s v="Michael Martinez"/>
        <s v="Emily Miller"/>
        <s v="Emily Hernandez"/>
        <s v="Jane Williams"/>
        <s v="Jane Miller"/>
        <s v="Robert Jones"/>
        <s v="Thomas Rodriguez"/>
        <s v="Emily Davis"/>
        <s v="James Martinez"/>
        <s v="Ashley Lopez"/>
        <s v="Amanda Gonzalez"/>
        <s v="Michael Hernandez"/>
        <s v="Michael Rodriguez"/>
        <s v="Jessica Johnson"/>
        <s v="Ashley Williams"/>
        <s v="Unknown Williams"/>
        <s v="Michael Wilson"/>
        <s v="John Rodriguez"/>
        <s v="Thomas Hernandez"/>
        <s v="Michael Johnson"/>
        <s v="Sarah Brown"/>
        <s v="Jane Martinez"/>
        <s v="Emily Jones"/>
        <s v="Unknown Brown"/>
        <s v="Melissa Brown"/>
        <s v="Michael Smith"/>
        <s v="Sarah Miller"/>
        <s v="Emily Wilson"/>
        <s v="David Hernandez"/>
        <s v="James Smith"/>
        <s v="Sarah Williams"/>
        <s v="Amanda Lopez"/>
        <s v="Thomas Lopez"/>
        <s v="Melissa Johnson"/>
        <s v="Amanda Johnson"/>
        <s v="John Davis"/>
        <s v="James Johnson"/>
        <s v="Jane Davis"/>
        <s v="Richard Davis"/>
        <s v="Emily Garcia"/>
        <s v="Jane Anderson"/>
        <s v="Thomas Garcia"/>
        <s v="David Martinez"/>
        <s v="Michael Anderson"/>
        <s v="Robert Johnson"/>
        <s v="Robert Miller"/>
        <s v="Thomas Davis"/>
        <s v="Thomas Jones"/>
        <s v="Michael Miller"/>
        <s v="Richard Gonzalez"/>
        <s v="Melissa Williams"/>
        <s v="William Garcia"/>
        <s v="John Gonzalez"/>
        <s v="James Gonzalez"/>
        <s v="Jane Gonzalez"/>
        <s v="David Wilson"/>
        <s v="Jane Rodriguez"/>
        <s v="Jessica Garcia"/>
        <s v="Richard Smith"/>
        <s v="Melissa Wilson"/>
        <s v="Thomas Williams"/>
        <s v="David Williams"/>
        <s v="John Johnson"/>
        <s v="Melissa Anderson"/>
        <s v="William Gonzalez"/>
        <s v="Jessica Anderson"/>
        <s v="Thomas Miller"/>
        <s v="Unknown Smith"/>
        <s v="Jane Johnson"/>
        <s v="John Jones"/>
        <s v="Jane Lopez"/>
        <s v="Melissa Gonzalez"/>
        <s v="William Davis"/>
        <s v="John Smith"/>
        <s v="William Williams"/>
        <s v="James Jones"/>
        <s v="Jessica Gonzalez"/>
        <s v="Amanda Brown"/>
        <s v="Robert Martinez"/>
        <s v="David Rodriguez"/>
        <s v="James Rodriguez"/>
        <s v="Sarah Rodriguez"/>
        <s v="Sarah Wilson"/>
        <s v="Robert Williams"/>
        <s v="Melissa Rodriguez"/>
        <s v="William Jones"/>
        <s v="David Anderson"/>
        <s v="Sarah Smith"/>
        <s v="Melissa Hernandez"/>
        <s v="Jane Garcia"/>
        <s v="David Davis"/>
        <s v="James Wilson"/>
        <s v="Richard Johnson"/>
        <s v="Richard Williams"/>
        <s v="John Hernandez"/>
        <s v="Sarah Gonzalez"/>
        <s v="Unknown Jones"/>
        <s v="William Rodriguez"/>
        <s v="Melissa Miller"/>
        <s v="Emily Martinez"/>
      </sharedItems>
    </cacheField>
    <cacheField name="DeptCode" numFmtId="0">
      <sharedItems/>
    </cacheField>
    <cacheField name="Department Name" numFmtId="0">
      <sharedItems count="6">
        <s v="Information Technology"/>
        <s v="Marketing"/>
        <s v="Finance"/>
        <s v="Operations"/>
        <s v="Sales"/>
        <s v="Human Resources"/>
      </sharedItems>
    </cacheField>
    <cacheField name="Hire Date" numFmtId="164">
      <sharedItems containsSemiMixedTypes="0" containsNonDate="0" containsDate="1" containsString="0" minDate="2015-01-04T00:00:00" maxDate="2023-12-13T00:00:00"/>
    </cacheField>
    <cacheField name="Column1" numFmtId="164">
      <sharedItems containsSemiMixedTypes="0" containsNonDate="0" containsDate="1" containsString="0" minDate="2026-07-05T00:00:00" maxDate="2026-07-06T00:00:00"/>
    </cacheField>
    <cacheField name="Years of Service" numFmtId="0">
      <sharedItems containsSemiMixedTypes="0" containsString="0" containsNumber="1" containsInteger="1" minValue="2" maxValue="11"/>
    </cacheField>
    <cacheField name="Salary" numFmtId="165">
      <sharedItems containsSemiMixedTypes="0" containsString="0" containsNumber="1" containsInteger="1" minValue="45196" maxValue="118947"/>
    </cacheField>
    <cacheField name="Bonus Percentage" numFmtId="9">
      <sharedItems containsSemiMixedTypes="0" containsString="0" containsNumber="1" minValue="0" maxValue="0.12"/>
    </cacheField>
    <cacheField name="Eligible Bonus Amount" numFmtId="165">
      <sharedItems containsSemiMixedTypes="0" containsString="0" containsNumber="1" minValue="0" maxValue="14273.64"/>
    </cacheField>
    <cacheField name="Perf_Score" numFmtId="1">
      <sharedItems containsSemiMixedTypes="0" containsString="0" containsNumber="1" containsInteger="1" minValue="30" maxValue="99"/>
    </cacheField>
    <cacheField name="EmploymentStatus" numFmtId="49">
      <sharedItems count="3">
        <s v="active"/>
        <s v="LEFT"/>
        <s v="Resigned"/>
      </sharedItems>
    </cacheField>
    <cacheField name="Performance Band" numFmtId="0">
      <sharedItems count="5">
        <s v="Developing"/>
        <s v="Achieving"/>
        <s v="Needs Improvement"/>
        <s v="Exceeding"/>
        <s v="Outstanding"/>
      </sharedItems>
    </cacheField>
    <cacheField name="EmploymentStatus2" numFmtId="0">
      <sharedItems count="3">
        <s v="Active"/>
        <s v="Left"/>
        <s v="Resigned"/>
      </sharedItems>
    </cacheField>
  </cacheFields>
  <extLst>
    <ext xmlns:x14="http://schemas.microsoft.com/office/spreadsheetml/2009/9/main" uri="{725AE2AE-9491-48be-B2B4-4EB974FC3084}">
      <x14:pivotCacheDefinition pivotCacheId="448551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x v="0"/>
    <s v="IT02"/>
    <x v="0"/>
    <d v="2017-12-24T00:00:00"/>
    <d v="2026-07-05T00:00:00"/>
    <n v="8"/>
    <n v="50361"/>
    <n v="0.02"/>
    <n v="1007.22"/>
    <n v="52"/>
    <x v="0"/>
    <x v="0"/>
    <x v="0"/>
  </r>
  <r>
    <s v="EMP046"/>
    <s v="Richard"/>
    <s v="Hernandez"/>
    <x v="1"/>
    <s v="MKT04"/>
    <x v="1"/>
    <d v="2022-04-08T00:00:00"/>
    <d v="2026-07-05T00:00:00"/>
    <n v="4"/>
    <n v="112673"/>
    <n v="0.02"/>
    <n v="2253.46"/>
    <n v="68"/>
    <x v="0"/>
    <x v="0"/>
    <x v="0"/>
  </r>
  <r>
    <s v="EMP134"/>
    <s v="Emily"/>
    <s v="Gonzalez"/>
    <x v="2"/>
    <s v="IT02"/>
    <x v="0"/>
    <d v="2016-03-02T00:00:00"/>
    <d v="2026-07-05T00:00:00"/>
    <n v="10"/>
    <n v="114425"/>
    <n v="0.02"/>
    <n v="2288.5"/>
    <n v="54"/>
    <x v="1"/>
    <x v="0"/>
    <x v="1"/>
  </r>
  <r>
    <s v="EMP139"/>
    <s v="John"/>
    <s v="Martinez"/>
    <x v="3"/>
    <s v="FIN03"/>
    <x v="2"/>
    <d v="2023-07-03T00:00:00"/>
    <d v="2026-07-05T00:00:00"/>
    <n v="3"/>
    <n v="103831"/>
    <n v="0.05"/>
    <n v="5191.55"/>
    <n v="70"/>
    <x v="0"/>
    <x v="1"/>
    <x v="0"/>
  </r>
  <r>
    <s v="EMP112"/>
    <s v="Thomas"/>
    <s v="Smith"/>
    <x v="4"/>
    <s v="IT02"/>
    <x v="0"/>
    <d v="2023-02-20T00:00:00"/>
    <d v="2026-07-05T00:00:00"/>
    <n v="3"/>
    <n v="73785"/>
    <n v="0"/>
    <n v="0"/>
    <n v="40"/>
    <x v="1"/>
    <x v="2"/>
    <x v="1"/>
  </r>
  <r>
    <s v="EMP030"/>
    <s v="Emily"/>
    <s v="Johnson"/>
    <x v="5"/>
    <s v="OPS06"/>
    <x v="3"/>
    <d v="2020-03-02T00:00:00"/>
    <d v="2026-07-05T00:00:00"/>
    <n v="6"/>
    <n v="115882"/>
    <n v="0"/>
    <n v="0"/>
    <n v="49"/>
    <x v="0"/>
    <x v="2"/>
    <x v="0"/>
  </r>
  <r>
    <s v="EMP096"/>
    <s v="John"/>
    <s v="Wilson"/>
    <x v="6"/>
    <s v="OPS06"/>
    <x v="3"/>
    <d v="2023-12-12T00:00:00"/>
    <d v="2026-07-05T00:00:00"/>
    <n v="2"/>
    <n v="59980"/>
    <n v="0.05"/>
    <n v="2999"/>
    <n v="70"/>
    <x v="1"/>
    <x v="1"/>
    <x v="1"/>
  </r>
  <r>
    <s v="EMP098"/>
    <s v="Jessica"/>
    <s v="Smith"/>
    <x v="7"/>
    <s v="OPS06"/>
    <x v="3"/>
    <d v="2020-12-09T00:00:00"/>
    <d v="2026-07-05T00:00:00"/>
    <n v="5"/>
    <n v="68728"/>
    <n v="0"/>
    <n v="0"/>
    <n v="45"/>
    <x v="0"/>
    <x v="2"/>
    <x v="0"/>
  </r>
  <r>
    <s v="EMP095"/>
    <s v="Unknown"/>
    <s v="Rodriguez"/>
    <x v="8"/>
    <s v="FIN03"/>
    <x v="2"/>
    <d v="2018-01-07T00:00:00"/>
    <d v="2026-07-05T00:00:00"/>
    <n v="8"/>
    <n v="102139"/>
    <n v="0.05"/>
    <n v="5106.9500000000007"/>
    <n v="79"/>
    <x v="0"/>
    <x v="1"/>
    <x v="0"/>
  </r>
  <r>
    <s v="EMP140"/>
    <s v="Michael"/>
    <s v="Martinez"/>
    <x v="9"/>
    <s v="SAL05"/>
    <x v="4"/>
    <d v="2016-11-02T00:00:00"/>
    <d v="2026-07-05T00:00:00"/>
    <n v="9"/>
    <n v="94998"/>
    <n v="0.02"/>
    <n v="1899.96"/>
    <n v="58"/>
    <x v="0"/>
    <x v="0"/>
    <x v="0"/>
  </r>
  <r>
    <s v="EMP020"/>
    <s v="Emily"/>
    <s v="Miller"/>
    <x v="10"/>
    <s v="SAL05"/>
    <x v="4"/>
    <d v="2020-03-21T00:00:00"/>
    <d v="2026-07-05T00:00:00"/>
    <n v="6"/>
    <n v="118635"/>
    <n v="0"/>
    <n v="0"/>
    <n v="49"/>
    <x v="0"/>
    <x v="2"/>
    <x v="0"/>
  </r>
  <r>
    <s v="EMP057"/>
    <s v="Emily"/>
    <s v="Hernandez"/>
    <x v="11"/>
    <s v="IT02"/>
    <x v="0"/>
    <d v="2016-02-25T00:00:00"/>
    <d v="2026-07-05T00:00:00"/>
    <n v="10"/>
    <n v="76918"/>
    <n v="0.02"/>
    <n v="1538.3600000000001"/>
    <n v="62"/>
    <x v="0"/>
    <x v="0"/>
    <x v="0"/>
  </r>
  <r>
    <s v="EMP016"/>
    <s v="Jane"/>
    <s v="Williams"/>
    <x v="12"/>
    <s v="MKT04"/>
    <x v="1"/>
    <d v="2021-06-17T00:00:00"/>
    <d v="2026-07-05T00:00:00"/>
    <n v="5"/>
    <n v="61408"/>
    <n v="0"/>
    <n v="0"/>
    <n v="48"/>
    <x v="0"/>
    <x v="2"/>
    <x v="0"/>
  </r>
  <r>
    <s v="EMP070"/>
    <s v="Jane"/>
    <s v="Miller"/>
    <x v="13"/>
    <s v="MKT04"/>
    <x v="1"/>
    <d v="2020-06-19T00:00:00"/>
    <d v="2026-07-05T00:00:00"/>
    <n v="6"/>
    <n v="99990"/>
    <n v="0.02"/>
    <n v="1999.8"/>
    <n v="54"/>
    <x v="0"/>
    <x v="0"/>
    <x v="0"/>
  </r>
  <r>
    <s v="EMP025"/>
    <s v="Robert"/>
    <s v="Jones"/>
    <x v="14"/>
    <s v="MKT04"/>
    <x v="1"/>
    <d v="2019-12-21T00:00:00"/>
    <d v="2026-07-05T00:00:00"/>
    <n v="6"/>
    <n v="80385"/>
    <n v="0.02"/>
    <n v="1607.7"/>
    <n v="68"/>
    <x v="0"/>
    <x v="0"/>
    <x v="0"/>
  </r>
  <r>
    <s v="EMP031"/>
    <s v="Thomas"/>
    <s v="Rodriguez"/>
    <x v="15"/>
    <s v="SAL05"/>
    <x v="4"/>
    <d v="2023-08-31T00:00:00"/>
    <d v="2026-07-05T00:00:00"/>
    <n v="2"/>
    <n v="65290"/>
    <n v="0.05"/>
    <n v="3264.5"/>
    <n v="77"/>
    <x v="0"/>
    <x v="1"/>
    <x v="0"/>
  </r>
  <r>
    <s v="EMP126"/>
    <s v="Emily"/>
    <s v="Davis"/>
    <x v="16"/>
    <s v="IT02"/>
    <x v="0"/>
    <d v="2015-11-29T00:00:00"/>
    <d v="2026-07-05T00:00:00"/>
    <n v="10"/>
    <n v="105765"/>
    <n v="0"/>
    <n v="0"/>
    <n v="42"/>
    <x v="0"/>
    <x v="2"/>
    <x v="0"/>
  </r>
  <r>
    <s v="EMP109"/>
    <s v="James"/>
    <s v="Martinez"/>
    <x v="17"/>
    <s v="SAL05"/>
    <x v="4"/>
    <d v="2017-06-13T00:00:00"/>
    <d v="2026-07-05T00:00:00"/>
    <n v="9"/>
    <n v="102921"/>
    <n v="0"/>
    <n v="0"/>
    <n v="49"/>
    <x v="0"/>
    <x v="2"/>
    <x v="0"/>
  </r>
  <r>
    <s v="EMP066"/>
    <s v="Ashley"/>
    <s v="Lopez"/>
    <x v="18"/>
    <s v="MKT04"/>
    <x v="1"/>
    <d v="2018-05-15T00:00:00"/>
    <d v="2026-07-05T00:00:00"/>
    <n v="8"/>
    <n v="73984"/>
    <n v="0.08"/>
    <n v="5918.72"/>
    <n v="93"/>
    <x v="0"/>
    <x v="3"/>
    <x v="0"/>
  </r>
  <r>
    <s v="EMP120"/>
    <s v="Amanda"/>
    <s v="Gonzalez"/>
    <x v="19"/>
    <s v="IT02"/>
    <x v="0"/>
    <d v="2016-07-24T00:00:00"/>
    <d v="2026-07-05T00:00:00"/>
    <n v="9"/>
    <n v="83604"/>
    <n v="0.05"/>
    <n v="4180.2"/>
    <n v="75"/>
    <x v="0"/>
    <x v="1"/>
    <x v="0"/>
  </r>
  <r>
    <s v="EMP019"/>
    <s v="Michael"/>
    <s v="Hernandez"/>
    <x v="20"/>
    <s v="FIN03"/>
    <x v="2"/>
    <d v="2017-12-07T00:00:00"/>
    <d v="2026-07-05T00:00:00"/>
    <n v="8"/>
    <n v="118527"/>
    <n v="0.02"/>
    <n v="2370.54"/>
    <n v="50"/>
    <x v="0"/>
    <x v="0"/>
    <x v="0"/>
  </r>
  <r>
    <s v="EMP013"/>
    <s v="Richard"/>
    <s v="Hernandez"/>
    <x v="1"/>
    <s v="MKT04"/>
    <x v="1"/>
    <d v="2021-06-06T00:00:00"/>
    <d v="2026-07-05T00:00:00"/>
    <n v="5"/>
    <n v="107871"/>
    <n v="0.08"/>
    <n v="8629.68"/>
    <n v="88"/>
    <x v="0"/>
    <x v="3"/>
    <x v="0"/>
  </r>
  <r>
    <s v="EMP010"/>
    <s v="Michael"/>
    <s v="Rodriguez"/>
    <x v="21"/>
    <s v="IT02"/>
    <x v="0"/>
    <d v="2022-09-11T00:00:00"/>
    <d v="2026-07-05T00:00:00"/>
    <n v="3"/>
    <n v="93956"/>
    <n v="0.02"/>
    <n v="1879.1200000000001"/>
    <n v="50"/>
    <x v="1"/>
    <x v="0"/>
    <x v="1"/>
  </r>
  <r>
    <s v="EMP032"/>
    <s v="Jessica"/>
    <s v="Johnson"/>
    <x v="22"/>
    <s v="FIN03"/>
    <x v="2"/>
    <d v="2016-07-14T00:00:00"/>
    <d v="2026-07-05T00:00:00"/>
    <n v="9"/>
    <n v="100851"/>
    <n v="0.02"/>
    <n v="2017.02"/>
    <n v="64"/>
    <x v="0"/>
    <x v="0"/>
    <x v="0"/>
  </r>
  <r>
    <s v="EMP082"/>
    <s v="Ashley"/>
    <s v="Williams"/>
    <x v="23"/>
    <s v="SAL05"/>
    <x v="4"/>
    <d v="2022-06-16T00:00:00"/>
    <d v="2026-07-05T00:00:00"/>
    <n v="4"/>
    <n v="68655"/>
    <n v="0"/>
    <n v="0"/>
    <n v="32"/>
    <x v="0"/>
    <x v="2"/>
    <x v="0"/>
  </r>
  <r>
    <s v="EMP052"/>
    <s v="Unknown"/>
    <s v="Williams"/>
    <x v="24"/>
    <s v="SAL05"/>
    <x v="4"/>
    <d v="2023-07-27T00:00:00"/>
    <d v="2026-07-05T00:00:00"/>
    <n v="2"/>
    <n v="81205"/>
    <n v="0.02"/>
    <n v="1624.1000000000001"/>
    <n v="59"/>
    <x v="0"/>
    <x v="0"/>
    <x v="0"/>
  </r>
  <r>
    <s v="EMP129"/>
    <s v="John"/>
    <s v="Wilson"/>
    <x v="6"/>
    <s v="SAL05"/>
    <x v="4"/>
    <d v="2019-09-24T00:00:00"/>
    <d v="2026-07-05T00:00:00"/>
    <n v="6"/>
    <n v="77610"/>
    <n v="0.08"/>
    <n v="6208.8"/>
    <n v="88"/>
    <x v="0"/>
    <x v="3"/>
    <x v="0"/>
  </r>
  <r>
    <s v="EMP146"/>
    <s v="Thomas"/>
    <s v="Rodriguez"/>
    <x v="15"/>
    <s v="IT02"/>
    <x v="0"/>
    <d v="2022-07-23T00:00:00"/>
    <d v="2026-07-05T00:00:00"/>
    <n v="3"/>
    <n v="50873"/>
    <n v="0.08"/>
    <n v="4069.84"/>
    <n v="90"/>
    <x v="0"/>
    <x v="3"/>
    <x v="0"/>
  </r>
  <r>
    <s v="EMP099"/>
    <s v="Michael"/>
    <s v="Wilson"/>
    <x v="25"/>
    <s v="FIN03"/>
    <x v="2"/>
    <d v="2018-05-13T00:00:00"/>
    <d v="2026-07-05T00:00:00"/>
    <n v="8"/>
    <n v="85312"/>
    <n v="0.02"/>
    <n v="1706.24"/>
    <n v="66"/>
    <x v="0"/>
    <x v="0"/>
    <x v="0"/>
  </r>
  <r>
    <s v="EMP015"/>
    <s v="John"/>
    <s v="Rodriguez"/>
    <x v="26"/>
    <s v="SAL05"/>
    <x v="4"/>
    <d v="2015-07-17T00:00:00"/>
    <d v="2026-07-05T00:00:00"/>
    <n v="10"/>
    <n v="83604"/>
    <n v="0.02"/>
    <n v="1672.08"/>
    <n v="68"/>
    <x v="0"/>
    <x v="0"/>
    <x v="0"/>
  </r>
  <r>
    <s v="EMP076"/>
    <s v="Thomas"/>
    <s v="Hernandez"/>
    <x v="27"/>
    <s v="OPS06"/>
    <x v="3"/>
    <d v="2015-08-05T00:00:00"/>
    <d v="2026-07-05T00:00:00"/>
    <n v="10"/>
    <n v="97055"/>
    <n v="0.05"/>
    <n v="4852.75"/>
    <n v="80"/>
    <x v="0"/>
    <x v="1"/>
    <x v="0"/>
  </r>
  <r>
    <s v="EMP137"/>
    <s v="Michael"/>
    <s v="Johnson"/>
    <x v="28"/>
    <s v="IT02"/>
    <x v="0"/>
    <d v="2023-09-26T00:00:00"/>
    <d v="2026-07-05T00:00:00"/>
    <n v="2"/>
    <n v="66069"/>
    <n v="0.05"/>
    <n v="3303.4500000000003"/>
    <n v="72"/>
    <x v="0"/>
    <x v="1"/>
    <x v="0"/>
  </r>
  <r>
    <s v="EMP056"/>
    <s v="Sarah"/>
    <s v="Brown"/>
    <x v="29"/>
    <s v="IT02"/>
    <x v="0"/>
    <d v="2019-06-10T00:00:00"/>
    <d v="2026-07-05T00:00:00"/>
    <n v="7"/>
    <n v="90157"/>
    <n v="0.02"/>
    <n v="1803.14"/>
    <n v="58"/>
    <x v="0"/>
    <x v="0"/>
    <x v="0"/>
  </r>
  <r>
    <s v="EMP125"/>
    <s v="Jane"/>
    <s v="Martinez"/>
    <x v="30"/>
    <s v="HR01"/>
    <x v="5"/>
    <d v="2022-01-17T00:00:00"/>
    <d v="2026-07-05T00:00:00"/>
    <n v="4"/>
    <n v="59899"/>
    <n v="0.05"/>
    <n v="2994.9500000000003"/>
    <n v="78"/>
    <x v="0"/>
    <x v="1"/>
    <x v="0"/>
  </r>
  <r>
    <s v="EMP085"/>
    <s v="Emily"/>
    <s v="Jones"/>
    <x v="31"/>
    <s v="FIN03"/>
    <x v="2"/>
    <d v="2017-07-03T00:00:00"/>
    <d v="2026-07-05T00:00:00"/>
    <n v="9"/>
    <n v="113389"/>
    <n v="0"/>
    <n v="0"/>
    <n v="30"/>
    <x v="0"/>
    <x v="2"/>
    <x v="0"/>
  </r>
  <r>
    <s v="EMP106"/>
    <s v="Unknown"/>
    <s v="Brown"/>
    <x v="32"/>
    <s v="IT02"/>
    <x v="0"/>
    <d v="2015-09-01T00:00:00"/>
    <d v="2026-07-05T00:00:00"/>
    <n v="10"/>
    <n v="102691"/>
    <n v="0.02"/>
    <n v="2053.8200000000002"/>
    <n v="52"/>
    <x v="0"/>
    <x v="0"/>
    <x v="0"/>
  </r>
  <r>
    <s v="EMP043"/>
    <s v="John"/>
    <s v="Wilson"/>
    <x v="6"/>
    <s v="OPS06"/>
    <x v="3"/>
    <d v="2022-08-03T00:00:00"/>
    <d v="2026-07-05T00:00:00"/>
    <n v="3"/>
    <n v="111845"/>
    <n v="0.12"/>
    <n v="13421.4"/>
    <n v="98"/>
    <x v="0"/>
    <x v="4"/>
    <x v="0"/>
  </r>
  <r>
    <s v="EMP068"/>
    <s v="Melissa"/>
    <s v="Brown"/>
    <x v="33"/>
    <s v="SAL05"/>
    <x v="4"/>
    <d v="2022-06-29T00:00:00"/>
    <d v="2026-07-05T00:00:00"/>
    <n v="4"/>
    <n v="69219"/>
    <n v="0.08"/>
    <n v="5537.52"/>
    <n v="93"/>
    <x v="0"/>
    <x v="3"/>
    <x v="0"/>
  </r>
  <r>
    <s v="EMP128"/>
    <s v="Michael"/>
    <s v="Smith"/>
    <x v="34"/>
    <s v="FIN03"/>
    <x v="2"/>
    <d v="2020-04-28T00:00:00"/>
    <d v="2026-07-05T00:00:00"/>
    <n v="6"/>
    <n v="83604"/>
    <n v="0.05"/>
    <n v="4180.2"/>
    <n v="80"/>
    <x v="1"/>
    <x v="1"/>
    <x v="1"/>
  </r>
  <r>
    <s v="EMP027"/>
    <s v="Sarah"/>
    <s v="Miller"/>
    <x v="35"/>
    <s v="OPS06"/>
    <x v="3"/>
    <d v="2017-09-09T00:00:00"/>
    <d v="2026-07-05T00:00:00"/>
    <n v="8"/>
    <n v="57514"/>
    <n v="0.02"/>
    <n v="1150.28"/>
    <n v="68"/>
    <x v="0"/>
    <x v="0"/>
    <x v="0"/>
  </r>
  <r>
    <s v="EMP136"/>
    <s v="Emily"/>
    <s v="Wilson"/>
    <x v="36"/>
    <s v="SAL05"/>
    <x v="4"/>
    <d v="2018-03-22T00:00:00"/>
    <d v="2026-07-05T00:00:00"/>
    <n v="8"/>
    <n v="86245"/>
    <n v="0.05"/>
    <n v="4312.25"/>
    <n v="71"/>
    <x v="1"/>
    <x v="1"/>
    <x v="1"/>
  </r>
  <r>
    <s v="EMP079"/>
    <s v="David"/>
    <s v="Hernandez"/>
    <x v="37"/>
    <s v="SAL05"/>
    <x v="4"/>
    <d v="2020-05-07T00:00:00"/>
    <d v="2026-07-05T00:00:00"/>
    <n v="6"/>
    <n v="52407"/>
    <n v="0.02"/>
    <n v="1048.1400000000001"/>
    <n v="55"/>
    <x v="0"/>
    <x v="0"/>
    <x v="0"/>
  </r>
  <r>
    <s v="EMP149"/>
    <s v="James"/>
    <s v="Smith"/>
    <x v="38"/>
    <s v="OPS06"/>
    <x v="3"/>
    <d v="2019-03-25T00:00:00"/>
    <d v="2026-07-05T00:00:00"/>
    <n v="7"/>
    <n v="66606"/>
    <n v="0.08"/>
    <n v="5328.4800000000005"/>
    <n v="93"/>
    <x v="2"/>
    <x v="3"/>
    <x v="2"/>
  </r>
  <r>
    <s v="EMP037"/>
    <s v="Sarah"/>
    <s v="Williams"/>
    <x v="39"/>
    <s v="IT02"/>
    <x v="0"/>
    <d v="2019-08-09T00:00:00"/>
    <d v="2026-07-05T00:00:00"/>
    <n v="6"/>
    <n v="81896"/>
    <n v="0.05"/>
    <n v="4094.8"/>
    <n v="79"/>
    <x v="2"/>
    <x v="1"/>
    <x v="2"/>
  </r>
  <r>
    <s v="EMP077"/>
    <s v="Amanda"/>
    <s v="Lopez"/>
    <x v="40"/>
    <s v="SAL05"/>
    <x v="4"/>
    <d v="2016-07-14T00:00:00"/>
    <d v="2026-07-05T00:00:00"/>
    <n v="9"/>
    <n v="78402"/>
    <n v="0.02"/>
    <n v="1568.04"/>
    <n v="54"/>
    <x v="0"/>
    <x v="0"/>
    <x v="0"/>
  </r>
  <r>
    <s v="EMP023"/>
    <s v="Thomas"/>
    <s v="Lopez"/>
    <x v="41"/>
    <s v="OPS06"/>
    <x v="3"/>
    <d v="2016-10-04T00:00:00"/>
    <d v="2026-07-05T00:00:00"/>
    <n v="9"/>
    <n v="105498"/>
    <n v="0.05"/>
    <n v="5274.9000000000005"/>
    <n v="76"/>
    <x v="0"/>
    <x v="1"/>
    <x v="0"/>
  </r>
  <r>
    <s v="EMP133"/>
    <s v="Melissa"/>
    <s v="Johnson"/>
    <x v="42"/>
    <s v="MKT04"/>
    <x v="1"/>
    <d v="2019-07-10T00:00:00"/>
    <d v="2026-07-05T00:00:00"/>
    <n v="6"/>
    <n v="91749"/>
    <n v="0.05"/>
    <n v="4587.45"/>
    <n v="72"/>
    <x v="1"/>
    <x v="1"/>
    <x v="1"/>
  </r>
  <r>
    <s v="EMP141"/>
    <s v="Amanda"/>
    <s v="Johnson"/>
    <x v="43"/>
    <s v="OPS06"/>
    <x v="3"/>
    <d v="2021-08-29T00:00:00"/>
    <d v="2026-07-05T00:00:00"/>
    <n v="4"/>
    <n v="99935"/>
    <n v="0.05"/>
    <n v="4996.75"/>
    <n v="84"/>
    <x v="2"/>
    <x v="1"/>
    <x v="2"/>
  </r>
  <r>
    <s v="EMP012"/>
    <s v="John"/>
    <s v="Davis"/>
    <x v="44"/>
    <s v="IT02"/>
    <x v="0"/>
    <d v="2017-01-26T00:00:00"/>
    <d v="2026-07-05T00:00:00"/>
    <n v="9"/>
    <n v="83531"/>
    <n v="0"/>
    <n v="0"/>
    <n v="30"/>
    <x v="1"/>
    <x v="2"/>
    <x v="1"/>
  </r>
  <r>
    <s v="EMP080"/>
    <s v="James"/>
    <s v="Johnson"/>
    <x v="45"/>
    <s v="MKT04"/>
    <x v="1"/>
    <d v="2020-05-30T00:00:00"/>
    <d v="2026-07-05T00:00:00"/>
    <n v="6"/>
    <n v="75023"/>
    <n v="0.02"/>
    <n v="1500.46"/>
    <n v="68"/>
    <x v="0"/>
    <x v="0"/>
    <x v="0"/>
  </r>
  <r>
    <s v="EMP069"/>
    <s v="Jane"/>
    <s v="Davis"/>
    <x v="46"/>
    <s v="HR01"/>
    <x v="5"/>
    <d v="2022-02-20T00:00:00"/>
    <d v="2026-07-05T00:00:00"/>
    <n v="4"/>
    <n v="93290"/>
    <n v="0.02"/>
    <n v="1865.8"/>
    <n v="53"/>
    <x v="0"/>
    <x v="0"/>
    <x v="0"/>
  </r>
  <r>
    <s v="EMP150"/>
    <s v="Richard"/>
    <s v="Davis"/>
    <x v="47"/>
    <s v="OPS06"/>
    <x v="3"/>
    <d v="2016-09-15T00:00:00"/>
    <d v="2026-07-05T00:00:00"/>
    <n v="9"/>
    <n v="115527"/>
    <n v="0.02"/>
    <n v="2310.54"/>
    <n v="63"/>
    <x v="2"/>
    <x v="0"/>
    <x v="2"/>
  </r>
  <r>
    <s v="EMP028"/>
    <s v="Thomas"/>
    <s v="Rodriguez"/>
    <x v="15"/>
    <s v="FIN03"/>
    <x v="2"/>
    <d v="2019-10-07T00:00:00"/>
    <d v="2026-07-05T00:00:00"/>
    <n v="6"/>
    <n v="55920"/>
    <n v="0.05"/>
    <n v="2796"/>
    <n v="84"/>
    <x v="0"/>
    <x v="1"/>
    <x v="0"/>
  </r>
  <r>
    <s v="EMP087"/>
    <s v="Emily"/>
    <s v="Johnson"/>
    <x v="5"/>
    <s v="SAL05"/>
    <x v="4"/>
    <d v="2018-12-30T00:00:00"/>
    <d v="2026-07-05T00:00:00"/>
    <n v="7"/>
    <n v="80189"/>
    <n v="0"/>
    <n v="0"/>
    <n v="30"/>
    <x v="0"/>
    <x v="2"/>
    <x v="0"/>
  </r>
  <r>
    <s v="EMP119"/>
    <s v="Emily"/>
    <s v="Garcia"/>
    <x v="48"/>
    <s v="HR01"/>
    <x v="5"/>
    <d v="2020-12-24T00:00:00"/>
    <d v="2026-07-05T00:00:00"/>
    <n v="5"/>
    <n v="118947"/>
    <n v="0.12"/>
    <n v="14273.64"/>
    <n v="96"/>
    <x v="0"/>
    <x v="4"/>
    <x v="0"/>
  </r>
  <r>
    <s v="EMP042"/>
    <s v="Jane"/>
    <s v="Anderson"/>
    <x v="49"/>
    <s v="IT02"/>
    <x v="0"/>
    <d v="2023-07-05T00:00:00"/>
    <d v="2026-07-05T00:00:00"/>
    <n v="3"/>
    <n v="83604"/>
    <n v="0.02"/>
    <n v="1672.08"/>
    <n v="54"/>
    <x v="0"/>
    <x v="0"/>
    <x v="0"/>
  </r>
  <r>
    <s v="EMP005"/>
    <s v="Thomas"/>
    <s v="Garcia"/>
    <x v="50"/>
    <s v="OPS06"/>
    <x v="3"/>
    <d v="2020-11-13T00:00:00"/>
    <d v="2026-07-05T00:00:00"/>
    <n v="5"/>
    <n v="83604"/>
    <n v="0.05"/>
    <n v="4180.2"/>
    <n v="75"/>
    <x v="0"/>
    <x v="1"/>
    <x v="0"/>
  </r>
  <r>
    <s v="EMP033"/>
    <s v="David"/>
    <s v="Martinez"/>
    <x v="51"/>
    <s v="HR01"/>
    <x v="5"/>
    <d v="2018-02-07T00:00:00"/>
    <d v="2026-07-05T00:00:00"/>
    <n v="8"/>
    <n v="91655"/>
    <n v="0.12"/>
    <n v="10998.6"/>
    <n v="95"/>
    <x v="0"/>
    <x v="4"/>
    <x v="0"/>
  </r>
  <r>
    <s v="EMP061"/>
    <s v="Emily"/>
    <s v="Brown"/>
    <x v="0"/>
    <s v="IT02"/>
    <x v="0"/>
    <d v="2023-11-25T00:00:00"/>
    <d v="2026-07-05T00:00:00"/>
    <n v="2"/>
    <n v="49435"/>
    <n v="0.02"/>
    <n v="988.7"/>
    <n v="68"/>
    <x v="1"/>
    <x v="0"/>
    <x v="1"/>
  </r>
  <r>
    <s v="EMP102"/>
    <s v="Emily"/>
    <s v="Wilson"/>
    <x v="36"/>
    <s v="SAL05"/>
    <x v="4"/>
    <d v="2023-10-18T00:00:00"/>
    <d v="2026-07-05T00:00:00"/>
    <n v="2"/>
    <n v="110381"/>
    <n v="0.08"/>
    <n v="8830.48"/>
    <n v="93"/>
    <x v="0"/>
    <x v="3"/>
    <x v="0"/>
  </r>
  <r>
    <s v="EMP067"/>
    <s v="Michael"/>
    <s v="Anderson"/>
    <x v="52"/>
    <s v="HR01"/>
    <x v="5"/>
    <d v="2020-09-05T00:00:00"/>
    <d v="2026-07-05T00:00:00"/>
    <n v="5"/>
    <n v="114748"/>
    <n v="0"/>
    <n v="0"/>
    <n v="33"/>
    <x v="0"/>
    <x v="2"/>
    <x v="0"/>
  </r>
  <r>
    <s v="EMP017"/>
    <s v="Robert"/>
    <s v="Johnson"/>
    <x v="53"/>
    <s v="OPS06"/>
    <x v="3"/>
    <d v="2017-03-06T00:00:00"/>
    <d v="2026-07-05T00:00:00"/>
    <n v="9"/>
    <n v="63302"/>
    <n v="0.08"/>
    <n v="5064.16"/>
    <n v="91"/>
    <x v="0"/>
    <x v="3"/>
    <x v="0"/>
  </r>
  <r>
    <s v="EMP123"/>
    <s v="Robert"/>
    <s v="Miller"/>
    <x v="54"/>
    <s v="IT02"/>
    <x v="0"/>
    <d v="2015-04-28T00:00:00"/>
    <d v="2026-07-05T00:00:00"/>
    <n v="11"/>
    <n v="75519"/>
    <n v="0.02"/>
    <n v="1510.38"/>
    <n v="64"/>
    <x v="0"/>
    <x v="0"/>
    <x v="0"/>
  </r>
  <r>
    <s v="EMP011"/>
    <s v="Jane"/>
    <s v="Davis"/>
    <x v="46"/>
    <s v="FIN03"/>
    <x v="2"/>
    <d v="2017-04-13T00:00:00"/>
    <d v="2026-07-05T00:00:00"/>
    <n v="9"/>
    <n v="103891"/>
    <n v="0.05"/>
    <n v="5194.55"/>
    <n v="80"/>
    <x v="0"/>
    <x v="1"/>
    <x v="0"/>
  </r>
  <r>
    <s v="EMP091"/>
    <s v="Thomas"/>
    <s v="Davis"/>
    <x v="55"/>
    <s v="OPS06"/>
    <x v="3"/>
    <d v="2022-09-23T00:00:00"/>
    <d v="2026-07-05T00:00:00"/>
    <n v="3"/>
    <n v="83604"/>
    <n v="0"/>
    <n v="0"/>
    <n v="46"/>
    <x v="1"/>
    <x v="2"/>
    <x v="1"/>
  </r>
  <r>
    <s v="EMP145"/>
    <s v="Thomas"/>
    <s v="Jones"/>
    <x v="56"/>
    <s v="MKT04"/>
    <x v="1"/>
    <d v="2016-11-11T00:00:00"/>
    <d v="2026-07-05T00:00:00"/>
    <n v="9"/>
    <n v="50936"/>
    <n v="0.12"/>
    <n v="6112.32"/>
    <n v="99"/>
    <x v="0"/>
    <x v="4"/>
    <x v="0"/>
  </r>
  <r>
    <s v="EMP001"/>
    <s v="Michael"/>
    <s v="Miller"/>
    <x v="57"/>
    <s v="SAL05"/>
    <x v="4"/>
    <d v="2017-03-24T00:00:00"/>
    <d v="2026-07-05T00:00:00"/>
    <n v="9"/>
    <n v="111240"/>
    <n v="0.02"/>
    <n v="2224.8000000000002"/>
    <n v="68"/>
    <x v="0"/>
    <x v="0"/>
    <x v="0"/>
  </r>
  <r>
    <s v="EMP113"/>
    <s v="Richard"/>
    <s v="Gonzalez"/>
    <x v="58"/>
    <s v="HR01"/>
    <x v="5"/>
    <d v="2019-05-05T00:00:00"/>
    <d v="2026-07-05T00:00:00"/>
    <n v="7"/>
    <n v="51567"/>
    <n v="0.08"/>
    <n v="4125.3599999999997"/>
    <n v="87"/>
    <x v="2"/>
    <x v="3"/>
    <x v="2"/>
  </r>
  <r>
    <s v="EMP065"/>
    <s v="Melissa"/>
    <s v="Williams"/>
    <x v="59"/>
    <s v="HR01"/>
    <x v="5"/>
    <d v="2021-07-25T00:00:00"/>
    <d v="2026-07-05T00:00:00"/>
    <n v="4"/>
    <n v="83604"/>
    <n v="0"/>
    <n v="0"/>
    <n v="36"/>
    <x v="0"/>
    <x v="2"/>
    <x v="0"/>
  </r>
  <r>
    <s v="EMP045"/>
    <s v="Robert"/>
    <s v="Miller"/>
    <x v="54"/>
    <s v="HR01"/>
    <x v="5"/>
    <d v="2017-09-30T00:00:00"/>
    <d v="2026-07-05T00:00:00"/>
    <n v="8"/>
    <n v="55270"/>
    <n v="0.08"/>
    <n v="4421.6000000000004"/>
    <n v="87"/>
    <x v="0"/>
    <x v="3"/>
    <x v="0"/>
  </r>
  <r>
    <s v="EMP083"/>
    <s v="William"/>
    <s v="Garcia"/>
    <x v="60"/>
    <s v="SAL05"/>
    <x v="4"/>
    <d v="2015-07-07T00:00:00"/>
    <d v="2026-07-05T00:00:00"/>
    <n v="10"/>
    <n v="65235"/>
    <n v="0.12"/>
    <n v="7828.2"/>
    <n v="97"/>
    <x v="0"/>
    <x v="4"/>
    <x v="0"/>
  </r>
  <r>
    <s v="EMP029"/>
    <s v="John"/>
    <s v="Gonzalez"/>
    <x v="61"/>
    <s v="SAL05"/>
    <x v="4"/>
    <d v="2018-07-02T00:00:00"/>
    <d v="2026-07-05T00:00:00"/>
    <n v="8"/>
    <n v="83604"/>
    <n v="0.05"/>
    <n v="4180.2"/>
    <n v="72"/>
    <x v="1"/>
    <x v="1"/>
    <x v="1"/>
  </r>
  <r>
    <s v="EMP041"/>
    <s v="James"/>
    <s v="Gonzalez"/>
    <x v="62"/>
    <s v="SAL05"/>
    <x v="4"/>
    <d v="2022-09-15T00:00:00"/>
    <d v="2026-07-05T00:00:00"/>
    <n v="3"/>
    <n v="83604"/>
    <n v="0.02"/>
    <n v="1672.08"/>
    <n v="65"/>
    <x v="1"/>
    <x v="0"/>
    <x v="1"/>
  </r>
  <r>
    <s v="EMP026"/>
    <s v="Jane"/>
    <s v="Gonzalez"/>
    <x v="63"/>
    <s v="SAL05"/>
    <x v="4"/>
    <d v="2015-09-02T00:00:00"/>
    <d v="2026-07-05T00:00:00"/>
    <n v="10"/>
    <n v="83604"/>
    <n v="0.02"/>
    <n v="1672.08"/>
    <n v="67"/>
    <x v="0"/>
    <x v="0"/>
    <x v="0"/>
  </r>
  <r>
    <s v="EMP024"/>
    <s v="David"/>
    <s v="Wilson"/>
    <x v="64"/>
    <s v="OPS06"/>
    <x v="3"/>
    <d v="2016-10-11T00:00:00"/>
    <d v="2026-07-05T00:00:00"/>
    <n v="9"/>
    <n v="48823"/>
    <n v="0"/>
    <n v="0"/>
    <n v="34"/>
    <x v="0"/>
    <x v="2"/>
    <x v="0"/>
  </r>
  <r>
    <s v="EMP111"/>
    <s v="Jane"/>
    <s v="Gonzalez"/>
    <x v="63"/>
    <s v="FIN03"/>
    <x v="2"/>
    <d v="2019-04-20T00:00:00"/>
    <d v="2026-07-05T00:00:00"/>
    <n v="7"/>
    <n v="45196"/>
    <n v="0.05"/>
    <n v="2259.8000000000002"/>
    <n v="78"/>
    <x v="1"/>
    <x v="1"/>
    <x v="1"/>
  </r>
  <r>
    <s v="EMP040"/>
    <s v="Jane"/>
    <s v="Rodriguez"/>
    <x v="65"/>
    <s v="IT02"/>
    <x v="0"/>
    <d v="2017-02-19T00:00:00"/>
    <d v="2026-07-05T00:00:00"/>
    <n v="9"/>
    <n v="86246"/>
    <n v="0.02"/>
    <n v="1724.92"/>
    <n v="61"/>
    <x v="0"/>
    <x v="0"/>
    <x v="0"/>
  </r>
  <r>
    <s v="EMP086"/>
    <s v="Emily"/>
    <s v="Miller"/>
    <x v="10"/>
    <s v="SAL05"/>
    <x v="4"/>
    <d v="2021-09-07T00:00:00"/>
    <d v="2026-07-05T00:00:00"/>
    <n v="4"/>
    <n v="70359"/>
    <n v="0.05"/>
    <n v="3517.9500000000003"/>
    <n v="74"/>
    <x v="1"/>
    <x v="1"/>
    <x v="1"/>
  </r>
  <r>
    <s v="EMP124"/>
    <s v="Sarah"/>
    <s v="Miller"/>
    <x v="35"/>
    <s v="MKT04"/>
    <x v="1"/>
    <d v="2019-05-14T00:00:00"/>
    <d v="2026-07-05T00:00:00"/>
    <n v="7"/>
    <n v="83604"/>
    <n v="0.08"/>
    <n v="6688.32"/>
    <n v="94"/>
    <x v="0"/>
    <x v="3"/>
    <x v="0"/>
  </r>
  <r>
    <s v="EMP132"/>
    <s v="Jessica"/>
    <s v="Garcia"/>
    <x v="66"/>
    <s v="OPS06"/>
    <x v="3"/>
    <d v="2015-11-22T00:00:00"/>
    <d v="2026-07-05T00:00:00"/>
    <n v="10"/>
    <n v="86480"/>
    <n v="0.02"/>
    <n v="1729.6000000000001"/>
    <n v="68"/>
    <x v="0"/>
    <x v="0"/>
    <x v="0"/>
  </r>
  <r>
    <s v="EMP048"/>
    <s v="Richard"/>
    <s v="Smith"/>
    <x v="67"/>
    <s v="HR01"/>
    <x v="5"/>
    <d v="2018-09-29T00:00:00"/>
    <d v="2026-07-05T00:00:00"/>
    <n v="7"/>
    <n v="47694"/>
    <n v="0.05"/>
    <n v="2384.7000000000003"/>
    <n v="75"/>
    <x v="0"/>
    <x v="1"/>
    <x v="0"/>
  </r>
  <r>
    <s v="EMP114"/>
    <s v="Melissa"/>
    <s v="Wilson"/>
    <x v="68"/>
    <s v="IT02"/>
    <x v="0"/>
    <d v="2023-09-02T00:00:00"/>
    <d v="2026-07-05T00:00:00"/>
    <n v="2"/>
    <n v="83724"/>
    <n v="0.05"/>
    <n v="4186.2"/>
    <n v="81"/>
    <x v="2"/>
    <x v="1"/>
    <x v="2"/>
  </r>
  <r>
    <s v="EMP062"/>
    <s v="Thomas"/>
    <s v="Williams"/>
    <x v="69"/>
    <s v="FIN03"/>
    <x v="2"/>
    <d v="2022-07-17T00:00:00"/>
    <d v="2026-07-05T00:00:00"/>
    <n v="3"/>
    <n v="98299"/>
    <n v="0.02"/>
    <n v="1965.98"/>
    <n v="61"/>
    <x v="0"/>
    <x v="0"/>
    <x v="0"/>
  </r>
  <r>
    <s v="EMP074"/>
    <s v="David"/>
    <s v="Williams"/>
    <x v="70"/>
    <s v="FIN03"/>
    <x v="2"/>
    <d v="2021-02-07T00:00:00"/>
    <d v="2026-07-05T00:00:00"/>
    <n v="5"/>
    <n v="83604"/>
    <n v="0.02"/>
    <n v="1672.08"/>
    <n v="68"/>
    <x v="0"/>
    <x v="0"/>
    <x v="0"/>
  </r>
  <r>
    <s v="EMP034"/>
    <s v="John"/>
    <s v="Johnson"/>
    <x v="71"/>
    <s v="IT02"/>
    <x v="0"/>
    <d v="2023-10-04T00:00:00"/>
    <d v="2026-07-05T00:00:00"/>
    <n v="2"/>
    <n v="52287"/>
    <n v="0.05"/>
    <n v="2614.3500000000004"/>
    <n v="70"/>
    <x v="0"/>
    <x v="1"/>
    <x v="0"/>
  </r>
  <r>
    <s v="EMP105"/>
    <s v="Richard"/>
    <s v="Gonzalez"/>
    <x v="58"/>
    <s v="IT02"/>
    <x v="0"/>
    <d v="2020-08-30T00:00:00"/>
    <d v="2026-07-05T00:00:00"/>
    <n v="5"/>
    <n v="82633"/>
    <n v="0.12"/>
    <n v="9915.9599999999991"/>
    <n v="98"/>
    <x v="0"/>
    <x v="4"/>
    <x v="0"/>
  </r>
  <r>
    <s v="EMP118"/>
    <s v="Melissa"/>
    <s v="Anderson"/>
    <x v="72"/>
    <s v="OPS06"/>
    <x v="3"/>
    <d v="2021-08-14T00:00:00"/>
    <d v="2026-07-05T00:00:00"/>
    <n v="4"/>
    <n v="46508"/>
    <n v="0"/>
    <n v="0"/>
    <n v="34"/>
    <x v="0"/>
    <x v="2"/>
    <x v="0"/>
  </r>
  <r>
    <s v="EMP063"/>
    <s v="Emily"/>
    <s v="Gonzalez"/>
    <x v="2"/>
    <s v="HR01"/>
    <x v="5"/>
    <d v="2019-11-27T00:00:00"/>
    <d v="2026-07-05T00:00:00"/>
    <n v="6"/>
    <n v="86232"/>
    <n v="0.08"/>
    <n v="6898.56"/>
    <n v="93"/>
    <x v="0"/>
    <x v="3"/>
    <x v="0"/>
  </r>
  <r>
    <s v="EMP094"/>
    <s v="Jane"/>
    <s v="Davis"/>
    <x v="46"/>
    <s v="IT02"/>
    <x v="0"/>
    <d v="2017-05-25T00:00:00"/>
    <d v="2026-07-05T00:00:00"/>
    <n v="9"/>
    <n v="77545"/>
    <n v="0"/>
    <n v="0"/>
    <n v="48"/>
    <x v="0"/>
    <x v="2"/>
    <x v="0"/>
  </r>
  <r>
    <s v="EMP097"/>
    <s v="William"/>
    <s v="Gonzalez"/>
    <x v="73"/>
    <s v="OPS06"/>
    <x v="3"/>
    <d v="2018-12-02T00:00:00"/>
    <d v="2026-07-05T00:00:00"/>
    <n v="7"/>
    <n v="68683"/>
    <n v="0.08"/>
    <n v="5494.64"/>
    <n v="90"/>
    <x v="0"/>
    <x v="3"/>
    <x v="0"/>
  </r>
  <r>
    <s v="EMP054"/>
    <s v="Thomas"/>
    <s v="Jones"/>
    <x v="56"/>
    <s v="FIN03"/>
    <x v="2"/>
    <d v="2019-06-23T00:00:00"/>
    <d v="2026-07-05T00:00:00"/>
    <n v="7"/>
    <n v="83932"/>
    <n v="0.02"/>
    <n v="1678.64"/>
    <n v="57"/>
    <x v="1"/>
    <x v="0"/>
    <x v="1"/>
  </r>
  <r>
    <s v="EMP006"/>
    <s v="Jessica"/>
    <s v="Anderson"/>
    <x v="74"/>
    <s v="HR01"/>
    <x v="5"/>
    <d v="2015-10-27T00:00:00"/>
    <d v="2026-07-05T00:00:00"/>
    <n v="10"/>
    <n v="56073"/>
    <n v="0.05"/>
    <n v="2803.65"/>
    <n v="79"/>
    <x v="0"/>
    <x v="1"/>
    <x v="0"/>
  </r>
  <r>
    <s v="EMP110"/>
    <s v="Melissa"/>
    <s v="Johnson"/>
    <x v="42"/>
    <s v="IT02"/>
    <x v="0"/>
    <d v="2018-06-19T00:00:00"/>
    <d v="2026-07-05T00:00:00"/>
    <n v="8"/>
    <n v="88056"/>
    <n v="0.02"/>
    <n v="1761.1200000000001"/>
    <n v="66"/>
    <x v="0"/>
    <x v="0"/>
    <x v="0"/>
  </r>
  <r>
    <s v="EMP147"/>
    <s v="Thomas"/>
    <s v="Miller"/>
    <x v="75"/>
    <s v="OPS06"/>
    <x v="3"/>
    <d v="2018-01-12T00:00:00"/>
    <d v="2026-07-05T00:00:00"/>
    <n v="8"/>
    <n v="67414"/>
    <n v="0.05"/>
    <n v="3370.7000000000003"/>
    <n v="84"/>
    <x v="1"/>
    <x v="1"/>
    <x v="1"/>
  </r>
  <r>
    <s v="EMP050"/>
    <s v="William"/>
    <s v="Gonzalez"/>
    <x v="73"/>
    <s v="SAL05"/>
    <x v="4"/>
    <d v="2015-01-04T00:00:00"/>
    <d v="2026-07-05T00:00:00"/>
    <n v="11"/>
    <n v="115288"/>
    <n v="0.02"/>
    <n v="2305.7600000000002"/>
    <n v="61"/>
    <x v="0"/>
    <x v="0"/>
    <x v="0"/>
  </r>
  <r>
    <s v="EMP036"/>
    <s v="Unknown"/>
    <s v="Smith"/>
    <x v="76"/>
    <s v="SAL05"/>
    <x v="4"/>
    <d v="2018-12-05T00:00:00"/>
    <d v="2026-07-05T00:00:00"/>
    <n v="7"/>
    <n v="80140"/>
    <n v="0.02"/>
    <n v="1602.8"/>
    <n v="58"/>
    <x v="0"/>
    <x v="0"/>
    <x v="0"/>
  </r>
  <r>
    <s v="EMP081"/>
    <s v="John"/>
    <s v="Johnson"/>
    <x v="71"/>
    <s v="IT02"/>
    <x v="0"/>
    <d v="2021-10-13T00:00:00"/>
    <d v="2026-07-05T00:00:00"/>
    <n v="4"/>
    <n v="73087"/>
    <n v="0.02"/>
    <n v="1461.74"/>
    <n v="69"/>
    <x v="0"/>
    <x v="0"/>
    <x v="0"/>
  </r>
  <r>
    <s v="EMP078"/>
    <s v="Jane"/>
    <s v="Johnson"/>
    <x v="77"/>
    <s v="SAL05"/>
    <x v="4"/>
    <d v="2020-09-07T00:00:00"/>
    <d v="2026-07-05T00:00:00"/>
    <n v="5"/>
    <n v="95292"/>
    <n v="0"/>
    <n v="0"/>
    <n v="34"/>
    <x v="0"/>
    <x v="2"/>
    <x v="0"/>
  </r>
  <r>
    <s v="EMP035"/>
    <s v="John"/>
    <s v="Jones"/>
    <x v="78"/>
    <s v="IT02"/>
    <x v="0"/>
    <d v="2019-03-08T00:00:00"/>
    <d v="2026-07-05T00:00:00"/>
    <n v="7"/>
    <n v="83604"/>
    <n v="0"/>
    <n v="0"/>
    <n v="33"/>
    <x v="0"/>
    <x v="2"/>
    <x v="0"/>
  </r>
  <r>
    <s v="EMP047"/>
    <s v="Jane"/>
    <s v="Lopez"/>
    <x v="79"/>
    <s v="MKT04"/>
    <x v="1"/>
    <d v="2015-03-11T00:00:00"/>
    <d v="2026-07-05T00:00:00"/>
    <n v="11"/>
    <n v="101750"/>
    <n v="0.05"/>
    <n v="5087.5"/>
    <n v="84"/>
    <x v="1"/>
    <x v="1"/>
    <x v="1"/>
  </r>
  <r>
    <s v="EMP008"/>
    <s v="Melissa"/>
    <s v="Gonzalez"/>
    <x v="80"/>
    <s v="MKT04"/>
    <x v="1"/>
    <d v="2017-02-19T00:00:00"/>
    <d v="2026-07-05T00:00:00"/>
    <n v="9"/>
    <n v="82992"/>
    <n v="0.05"/>
    <n v="4149.6000000000004"/>
    <n v="79"/>
    <x v="0"/>
    <x v="1"/>
    <x v="0"/>
  </r>
  <r>
    <s v="EMP044"/>
    <s v="William"/>
    <s v="Davis"/>
    <x v="81"/>
    <s v="IT02"/>
    <x v="0"/>
    <d v="2023-05-09T00:00:00"/>
    <d v="2026-07-05T00:00:00"/>
    <n v="3"/>
    <n v="49942"/>
    <n v="0.02"/>
    <n v="998.84"/>
    <n v="51"/>
    <x v="0"/>
    <x v="0"/>
    <x v="0"/>
  </r>
  <r>
    <s v="EMP071"/>
    <s v="John"/>
    <s v="Smith"/>
    <x v="82"/>
    <s v="OPS06"/>
    <x v="3"/>
    <d v="2018-01-22T00:00:00"/>
    <d v="2026-07-05T00:00:00"/>
    <n v="8"/>
    <n v="89060"/>
    <n v="0.02"/>
    <n v="1781.2"/>
    <n v="58"/>
    <x v="0"/>
    <x v="0"/>
    <x v="0"/>
  </r>
  <r>
    <s v="EMP115"/>
    <s v="James"/>
    <s v="Gonzalez"/>
    <x v="62"/>
    <s v="IT02"/>
    <x v="0"/>
    <d v="2020-02-18T00:00:00"/>
    <d v="2026-07-05T00:00:00"/>
    <n v="6"/>
    <n v="53786"/>
    <n v="0.12"/>
    <n v="6454.32"/>
    <n v="98"/>
    <x v="0"/>
    <x v="4"/>
    <x v="0"/>
  </r>
  <r>
    <s v="EMP092"/>
    <s v="Emily"/>
    <s v="Johnson"/>
    <x v="5"/>
    <s v="OPS06"/>
    <x v="3"/>
    <d v="2016-05-22T00:00:00"/>
    <d v="2026-07-05T00:00:00"/>
    <n v="10"/>
    <n v="81167"/>
    <n v="0.02"/>
    <n v="1623.3400000000001"/>
    <n v="68"/>
    <x v="0"/>
    <x v="0"/>
    <x v="0"/>
  </r>
  <r>
    <s v="EMP084"/>
    <s v="William"/>
    <s v="Williams"/>
    <x v="83"/>
    <s v="MKT04"/>
    <x v="1"/>
    <d v="2021-06-02T00:00:00"/>
    <d v="2026-07-05T00:00:00"/>
    <n v="5"/>
    <n v="66688"/>
    <n v="0"/>
    <n v="0"/>
    <n v="40"/>
    <x v="1"/>
    <x v="2"/>
    <x v="1"/>
  </r>
  <r>
    <s v="EMP142"/>
    <s v="James"/>
    <s v="Jones"/>
    <x v="84"/>
    <s v="IT02"/>
    <x v="0"/>
    <d v="2021-07-17T00:00:00"/>
    <d v="2026-07-05T00:00:00"/>
    <n v="4"/>
    <n v="91672"/>
    <n v="0.08"/>
    <n v="7333.76"/>
    <n v="88"/>
    <x v="0"/>
    <x v="3"/>
    <x v="0"/>
  </r>
  <r>
    <s v="EMP143"/>
    <s v="Jessica"/>
    <s v="Gonzalez"/>
    <x v="85"/>
    <s v="HR01"/>
    <x v="5"/>
    <d v="2016-11-13T00:00:00"/>
    <d v="2026-07-05T00:00:00"/>
    <n v="9"/>
    <n v="77737"/>
    <n v="0.05"/>
    <n v="3886.8500000000004"/>
    <n v="77"/>
    <x v="0"/>
    <x v="1"/>
    <x v="0"/>
  </r>
  <r>
    <s v="EMP090"/>
    <s v="Sarah"/>
    <s v="Miller"/>
    <x v="35"/>
    <s v="SAL05"/>
    <x v="4"/>
    <d v="2019-02-17T00:00:00"/>
    <d v="2026-07-05T00:00:00"/>
    <n v="7"/>
    <n v="95686"/>
    <n v="0.08"/>
    <n v="7654.88"/>
    <n v="91"/>
    <x v="0"/>
    <x v="3"/>
    <x v="0"/>
  </r>
  <r>
    <s v="EMP009"/>
    <s v="Jessica"/>
    <s v="Smith"/>
    <x v="7"/>
    <s v="SAL05"/>
    <x v="4"/>
    <d v="2016-09-12T00:00:00"/>
    <d v="2026-07-05T00:00:00"/>
    <n v="9"/>
    <n v="114681"/>
    <n v="0"/>
    <n v="0"/>
    <n v="36"/>
    <x v="0"/>
    <x v="2"/>
    <x v="0"/>
  </r>
  <r>
    <s v="EMP014"/>
    <s v="Thomas"/>
    <s v="Jones"/>
    <x v="56"/>
    <s v="OPS06"/>
    <x v="3"/>
    <d v="2021-08-13T00:00:00"/>
    <d v="2026-07-05T00:00:00"/>
    <n v="4"/>
    <n v="109121"/>
    <n v="0.05"/>
    <n v="5456.05"/>
    <n v="72"/>
    <x v="0"/>
    <x v="1"/>
    <x v="0"/>
  </r>
  <r>
    <s v="EMP060"/>
    <s v="Amanda"/>
    <s v="Brown"/>
    <x v="86"/>
    <s v="MKT04"/>
    <x v="1"/>
    <d v="2020-06-14T00:00:00"/>
    <d v="2026-07-05T00:00:00"/>
    <n v="6"/>
    <n v="112791"/>
    <n v="0.08"/>
    <n v="9023.2800000000007"/>
    <n v="87"/>
    <x v="0"/>
    <x v="3"/>
    <x v="0"/>
  </r>
  <r>
    <s v="EMP135"/>
    <s v="Robert"/>
    <s v="Martinez"/>
    <x v="87"/>
    <s v="IT02"/>
    <x v="0"/>
    <d v="2022-07-05T00:00:00"/>
    <d v="2026-07-05T00:00:00"/>
    <n v="4"/>
    <n v="118008"/>
    <n v="0.05"/>
    <n v="5900.4000000000005"/>
    <n v="71"/>
    <x v="0"/>
    <x v="1"/>
    <x v="0"/>
  </r>
  <r>
    <s v="EMP004"/>
    <s v="Thomas"/>
    <s v="Miller"/>
    <x v="75"/>
    <s v="IT02"/>
    <x v="0"/>
    <d v="2016-07-10T00:00:00"/>
    <d v="2026-07-05T00:00:00"/>
    <n v="9"/>
    <n v="74370"/>
    <n v="0.05"/>
    <n v="3718.5"/>
    <n v="82"/>
    <x v="0"/>
    <x v="1"/>
    <x v="0"/>
  </r>
  <r>
    <s v="EMP018"/>
    <s v="David"/>
    <s v="Rodriguez"/>
    <x v="88"/>
    <s v="IT02"/>
    <x v="0"/>
    <d v="2022-04-23T00:00:00"/>
    <d v="2026-07-05T00:00:00"/>
    <n v="4"/>
    <n v="77819"/>
    <n v="0.05"/>
    <n v="3890.9500000000003"/>
    <n v="79"/>
    <x v="0"/>
    <x v="1"/>
    <x v="0"/>
  </r>
  <r>
    <s v="EMP039"/>
    <s v="Jane"/>
    <s v="Miller"/>
    <x v="13"/>
    <s v="MKT04"/>
    <x v="1"/>
    <d v="2017-05-10T00:00:00"/>
    <d v="2026-07-05T00:00:00"/>
    <n v="9"/>
    <n v="48748"/>
    <n v="0.05"/>
    <n v="2437.4"/>
    <n v="83"/>
    <x v="0"/>
    <x v="1"/>
    <x v="0"/>
  </r>
  <r>
    <s v="EMP073"/>
    <s v="James"/>
    <s v="Rodriguez"/>
    <x v="89"/>
    <s v="OPS06"/>
    <x v="3"/>
    <d v="2020-05-20T00:00:00"/>
    <d v="2026-07-05T00:00:00"/>
    <n v="6"/>
    <n v="101997"/>
    <n v="0"/>
    <n v="0"/>
    <n v="38"/>
    <x v="2"/>
    <x v="2"/>
    <x v="2"/>
  </r>
  <r>
    <s v="EMP138"/>
    <s v="Sarah"/>
    <s v="Rodriguez"/>
    <x v="90"/>
    <s v="HR01"/>
    <x v="5"/>
    <d v="2023-04-20T00:00:00"/>
    <d v="2026-07-05T00:00:00"/>
    <n v="3"/>
    <n v="115260"/>
    <n v="0.05"/>
    <n v="5763"/>
    <n v="77"/>
    <x v="0"/>
    <x v="1"/>
    <x v="0"/>
  </r>
  <r>
    <s v="EMP007"/>
    <s v="Sarah"/>
    <s v="Wilson"/>
    <x v="91"/>
    <s v="SAL05"/>
    <x v="4"/>
    <d v="2021-10-31T00:00:00"/>
    <d v="2026-07-05T00:00:00"/>
    <n v="4"/>
    <n v="83604"/>
    <n v="0"/>
    <n v="0"/>
    <n v="49"/>
    <x v="0"/>
    <x v="2"/>
    <x v="0"/>
  </r>
  <r>
    <s v="EMP144"/>
    <s v="Melissa"/>
    <s v="Brown"/>
    <x v="33"/>
    <s v="IT02"/>
    <x v="0"/>
    <d v="2021-10-24T00:00:00"/>
    <d v="2026-07-05T00:00:00"/>
    <n v="4"/>
    <n v="83604"/>
    <n v="0.02"/>
    <n v="1672.08"/>
    <n v="69"/>
    <x v="1"/>
    <x v="0"/>
    <x v="1"/>
  </r>
  <r>
    <s v="EMP101"/>
    <s v="Robert"/>
    <s v="Williams"/>
    <x v="92"/>
    <s v="SAL05"/>
    <x v="4"/>
    <d v="2017-08-09T00:00:00"/>
    <d v="2026-07-05T00:00:00"/>
    <n v="8"/>
    <n v="83604"/>
    <n v="0.05"/>
    <n v="4180.2"/>
    <n v="76"/>
    <x v="0"/>
    <x v="1"/>
    <x v="0"/>
  </r>
  <r>
    <s v="EMP003"/>
    <s v="Melissa"/>
    <s v="Rodriguez"/>
    <x v="93"/>
    <s v="OPS06"/>
    <x v="3"/>
    <d v="2023-01-04T00:00:00"/>
    <d v="2026-07-05T00:00:00"/>
    <n v="3"/>
    <n v="60623"/>
    <n v="0.05"/>
    <n v="3031.15"/>
    <n v="78"/>
    <x v="0"/>
    <x v="1"/>
    <x v="0"/>
  </r>
  <r>
    <s v="EMP121"/>
    <s v="James"/>
    <s v="Johnson"/>
    <x v="45"/>
    <s v="HR01"/>
    <x v="5"/>
    <d v="2020-08-10T00:00:00"/>
    <d v="2026-07-05T00:00:00"/>
    <n v="5"/>
    <n v="68092"/>
    <n v="0.08"/>
    <n v="5447.36"/>
    <n v="93"/>
    <x v="0"/>
    <x v="3"/>
    <x v="0"/>
  </r>
  <r>
    <s v="EMP064"/>
    <s v="Michael"/>
    <s v="Wilson"/>
    <x v="25"/>
    <s v="MKT04"/>
    <x v="1"/>
    <d v="2022-04-02T00:00:00"/>
    <d v="2026-07-05T00:00:00"/>
    <n v="4"/>
    <n v="88155"/>
    <n v="0.02"/>
    <n v="1763.1000000000001"/>
    <n v="68"/>
    <x v="0"/>
    <x v="0"/>
    <x v="0"/>
  </r>
  <r>
    <s v="EMP116"/>
    <s v="William"/>
    <s v="Jones"/>
    <x v="94"/>
    <s v="MKT04"/>
    <x v="1"/>
    <d v="2018-03-24T00:00:00"/>
    <d v="2026-07-05T00:00:00"/>
    <n v="8"/>
    <n v="107903"/>
    <n v="0"/>
    <n v="0"/>
    <n v="42"/>
    <x v="0"/>
    <x v="2"/>
    <x v="0"/>
  </r>
  <r>
    <s v="EMP055"/>
    <s v="William"/>
    <s v="Williams"/>
    <x v="83"/>
    <s v="IT02"/>
    <x v="0"/>
    <d v="2018-07-24T00:00:00"/>
    <d v="2026-07-05T00:00:00"/>
    <n v="7"/>
    <n v="62818"/>
    <n v="0"/>
    <n v="0"/>
    <n v="34"/>
    <x v="0"/>
    <x v="2"/>
    <x v="0"/>
  </r>
  <r>
    <s v="EMP108"/>
    <s v="David"/>
    <s v="Williams"/>
    <x v="70"/>
    <s v="HR01"/>
    <x v="5"/>
    <d v="2018-07-20T00:00:00"/>
    <d v="2026-07-05T00:00:00"/>
    <n v="7"/>
    <n v="85151"/>
    <n v="0"/>
    <n v="0"/>
    <n v="35"/>
    <x v="0"/>
    <x v="2"/>
    <x v="0"/>
  </r>
  <r>
    <s v="EMP051"/>
    <s v="Jane"/>
    <s v="Davis"/>
    <x v="46"/>
    <s v="FIN03"/>
    <x v="2"/>
    <d v="2016-03-04T00:00:00"/>
    <d v="2026-07-05T00:00:00"/>
    <n v="10"/>
    <n v="46390"/>
    <n v="0.12"/>
    <n v="5566.8"/>
    <n v="95"/>
    <x v="0"/>
    <x v="4"/>
    <x v="0"/>
  </r>
  <r>
    <s v="EMP059"/>
    <s v="John"/>
    <s v="Martinez"/>
    <x v="3"/>
    <s v="HR01"/>
    <x v="5"/>
    <d v="2022-03-23T00:00:00"/>
    <d v="2026-07-05T00:00:00"/>
    <n v="4"/>
    <n v="111920"/>
    <n v="0.08"/>
    <n v="8953.6"/>
    <n v="90"/>
    <x v="1"/>
    <x v="3"/>
    <x v="1"/>
  </r>
  <r>
    <s v="EMP049"/>
    <s v="David"/>
    <s v="Anderson"/>
    <x v="95"/>
    <s v="HR01"/>
    <x v="5"/>
    <d v="2017-07-28T00:00:00"/>
    <d v="2026-07-05T00:00:00"/>
    <n v="8"/>
    <n v="115618"/>
    <n v="0"/>
    <n v="0"/>
    <n v="42"/>
    <x v="0"/>
    <x v="2"/>
    <x v="0"/>
  </r>
  <r>
    <s v="EMP089"/>
    <s v="Sarah"/>
    <s v="Smith"/>
    <x v="96"/>
    <s v="SAL05"/>
    <x v="4"/>
    <d v="2023-05-11T00:00:00"/>
    <d v="2026-07-05T00:00:00"/>
    <n v="3"/>
    <n v="110618"/>
    <n v="0.08"/>
    <n v="8849.44"/>
    <n v="88"/>
    <x v="2"/>
    <x v="3"/>
    <x v="2"/>
  </r>
  <r>
    <s v="EMP022"/>
    <s v="Melissa"/>
    <s v="Hernandez"/>
    <x v="97"/>
    <s v="OPS06"/>
    <x v="3"/>
    <d v="2022-03-19T00:00:00"/>
    <d v="2026-07-05T00:00:00"/>
    <n v="4"/>
    <n v="108395"/>
    <n v="0.05"/>
    <n v="5419.75"/>
    <n v="78"/>
    <x v="1"/>
    <x v="1"/>
    <x v="1"/>
  </r>
  <r>
    <s v="EMP058"/>
    <s v="Melissa"/>
    <s v="Johnson"/>
    <x v="42"/>
    <s v="FIN03"/>
    <x v="2"/>
    <d v="2017-12-22T00:00:00"/>
    <d v="2026-07-05T00:00:00"/>
    <n v="8"/>
    <n v="88005"/>
    <n v="0.02"/>
    <n v="1760.1000000000001"/>
    <n v="69"/>
    <x v="0"/>
    <x v="0"/>
    <x v="0"/>
  </r>
  <r>
    <s v="EMP130"/>
    <s v="Jane"/>
    <s v="Garcia"/>
    <x v="98"/>
    <s v="MKT04"/>
    <x v="1"/>
    <d v="2021-08-29T00:00:00"/>
    <d v="2026-07-05T00:00:00"/>
    <n v="4"/>
    <n v="83007"/>
    <n v="0.05"/>
    <n v="4150.3500000000004"/>
    <n v="82"/>
    <x v="0"/>
    <x v="1"/>
    <x v="0"/>
  </r>
  <r>
    <s v="EMP038"/>
    <s v="David"/>
    <s v="Davis"/>
    <x v="99"/>
    <s v="IT02"/>
    <x v="0"/>
    <d v="2018-09-17T00:00:00"/>
    <d v="2026-07-05T00:00:00"/>
    <n v="7"/>
    <n v="61547"/>
    <n v="0.02"/>
    <n v="1230.94"/>
    <n v="68"/>
    <x v="0"/>
    <x v="0"/>
    <x v="0"/>
  </r>
  <r>
    <s v="EMP148"/>
    <s v="James"/>
    <s v="Wilson"/>
    <x v="100"/>
    <s v="SAL05"/>
    <x v="4"/>
    <d v="2021-06-28T00:00:00"/>
    <d v="2026-07-05T00:00:00"/>
    <n v="5"/>
    <n v="83604"/>
    <n v="0.02"/>
    <n v="1672.08"/>
    <n v="52"/>
    <x v="0"/>
    <x v="0"/>
    <x v="0"/>
  </r>
  <r>
    <s v="EMP002"/>
    <s v="Richard"/>
    <s v="Johnson"/>
    <x v="101"/>
    <s v="OPS06"/>
    <x v="3"/>
    <d v="2017-10-03T00:00:00"/>
    <d v="2026-07-05T00:00:00"/>
    <n v="8"/>
    <n v="50399"/>
    <n v="0.08"/>
    <n v="4031.92"/>
    <n v="92"/>
    <x v="1"/>
    <x v="3"/>
    <x v="1"/>
  </r>
  <r>
    <s v="EMP053"/>
    <s v="Richard"/>
    <s v="Williams"/>
    <x v="102"/>
    <s v="FIN03"/>
    <x v="2"/>
    <d v="2015-10-22T00:00:00"/>
    <d v="2026-07-05T00:00:00"/>
    <n v="10"/>
    <n v="83604"/>
    <n v="0.02"/>
    <n v="1672.08"/>
    <n v="62"/>
    <x v="0"/>
    <x v="0"/>
    <x v="0"/>
  </r>
  <r>
    <s v="EMP131"/>
    <s v="John"/>
    <s v="Hernandez"/>
    <x v="103"/>
    <s v="OPS06"/>
    <x v="3"/>
    <d v="2018-06-06T00:00:00"/>
    <d v="2026-07-05T00:00:00"/>
    <n v="8"/>
    <n v="52720"/>
    <n v="0.02"/>
    <n v="1054.4000000000001"/>
    <n v="68"/>
    <x v="0"/>
    <x v="0"/>
    <x v="0"/>
  </r>
  <r>
    <s v="EMP104"/>
    <s v="Sarah"/>
    <s v="Gonzalez"/>
    <x v="104"/>
    <s v="OPS06"/>
    <x v="3"/>
    <d v="2017-07-16T00:00:00"/>
    <d v="2026-07-05T00:00:00"/>
    <n v="8"/>
    <n v="65065"/>
    <n v="0.12"/>
    <n v="7807.7999999999993"/>
    <n v="98"/>
    <x v="0"/>
    <x v="4"/>
    <x v="0"/>
  </r>
  <r>
    <s v="EMP100"/>
    <s v="Melissa"/>
    <s v="Hernandez"/>
    <x v="97"/>
    <s v="SAL05"/>
    <x v="4"/>
    <d v="2015-06-20T00:00:00"/>
    <d v="2026-07-05T00:00:00"/>
    <n v="11"/>
    <n v="83604"/>
    <n v="0.08"/>
    <n v="6688.32"/>
    <n v="94"/>
    <x v="2"/>
    <x v="3"/>
    <x v="2"/>
  </r>
  <r>
    <s v="EMP117"/>
    <s v="Melissa"/>
    <s v="Hernandez"/>
    <x v="97"/>
    <s v="OPS06"/>
    <x v="3"/>
    <d v="2019-05-24T00:00:00"/>
    <d v="2026-07-05T00:00:00"/>
    <n v="7"/>
    <n v="108119"/>
    <n v="0.02"/>
    <n v="2162.38"/>
    <n v="57"/>
    <x v="2"/>
    <x v="0"/>
    <x v="2"/>
  </r>
  <r>
    <s v="EMP088"/>
    <s v="John"/>
    <s v="Davis"/>
    <x v="44"/>
    <s v="IT02"/>
    <x v="0"/>
    <d v="2020-02-26T00:00:00"/>
    <d v="2026-07-05T00:00:00"/>
    <n v="6"/>
    <n v="83604"/>
    <n v="0.12"/>
    <n v="10032.48"/>
    <n v="96"/>
    <x v="0"/>
    <x v="4"/>
    <x v="0"/>
  </r>
  <r>
    <s v="EMP075"/>
    <s v="Richard"/>
    <s v="Davis"/>
    <x v="47"/>
    <s v="HR01"/>
    <x v="5"/>
    <d v="2023-03-06T00:00:00"/>
    <d v="2026-07-05T00:00:00"/>
    <n v="3"/>
    <n v="106896"/>
    <n v="0.02"/>
    <n v="2137.92"/>
    <n v="52"/>
    <x v="1"/>
    <x v="0"/>
    <x v="1"/>
  </r>
  <r>
    <s v="EMP122"/>
    <s v="Unknown"/>
    <s v="Jones"/>
    <x v="105"/>
    <s v="IT02"/>
    <x v="0"/>
    <d v="2019-01-12T00:00:00"/>
    <d v="2026-07-05T00:00:00"/>
    <n v="7"/>
    <n v="112887"/>
    <n v="0.02"/>
    <n v="2257.7400000000002"/>
    <n v="59"/>
    <x v="0"/>
    <x v="0"/>
    <x v="0"/>
  </r>
  <r>
    <s v="EMP021"/>
    <s v="William"/>
    <s v="Rodriguez"/>
    <x v="106"/>
    <s v="FIN03"/>
    <x v="2"/>
    <d v="2023-04-21T00:00:00"/>
    <d v="2026-07-05T00:00:00"/>
    <n v="3"/>
    <n v="85457"/>
    <n v="0.05"/>
    <n v="4272.8500000000004"/>
    <n v="79"/>
    <x v="0"/>
    <x v="1"/>
    <x v="0"/>
  </r>
  <r>
    <s v="EMP072"/>
    <s v="Melissa"/>
    <s v="Miller"/>
    <x v="107"/>
    <s v="SAL05"/>
    <x v="4"/>
    <d v="2016-05-29T00:00:00"/>
    <d v="2026-07-05T00:00:00"/>
    <n v="10"/>
    <n v="62798"/>
    <n v="0"/>
    <n v="0"/>
    <n v="30"/>
    <x v="0"/>
    <x v="2"/>
    <x v="0"/>
  </r>
  <r>
    <s v="EMP107"/>
    <s v="Emily"/>
    <s v="Martinez"/>
    <x v="108"/>
    <s v="OPS06"/>
    <x v="3"/>
    <d v="2022-05-30T00:00:00"/>
    <d v="2026-07-05T00:00:00"/>
    <n v="4"/>
    <n v="47794"/>
    <n v="0.05"/>
    <n v="2389.7000000000003"/>
    <n v="73"/>
    <x v="1"/>
    <x v="1"/>
    <x v="1"/>
  </r>
  <r>
    <s v="EMP093"/>
    <s v="James"/>
    <s v="Rodriguez"/>
    <x v="89"/>
    <s v="MKT04"/>
    <x v="1"/>
    <d v="2016-11-03T00:00:00"/>
    <d v="2026-07-05T00:00:00"/>
    <n v="9"/>
    <n v="93094"/>
    <n v="0.05"/>
    <n v="4654.7"/>
    <n v="74"/>
    <x v="0"/>
    <x v="1"/>
    <x v="0"/>
  </r>
  <r>
    <s v="EMP103"/>
    <s v="Amanda"/>
    <s v="Brown"/>
    <x v="86"/>
    <s v="IT02"/>
    <x v="0"/>
    <d v="2022-10-14T00:00:00"/>
    <d v="2026-07-05T00:00:00"/>
    <n v="3"/>
    <n v="118634"/>
    <n v="0.08"/>
    <n v="9490.7199999999993"/>
    <n v="91"/>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5F5007-B693-4E04-9E66-BC7B8B27E185}"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I15" firstHeaderRow="1" firstDataRow="1" firstDataCol="1"/>
  <pivotFields count="16">
    <pivotField showAll="0"/>
    <pivotField showAll="0"/>
    <pivotField showAll="0"/>
    <pivotField showAll="0">
      <items count="110">
        <item x="86"/>
        <item x="19"/>
        <item x="43"/>
        <item x="40"/>
        <item x="18"/>
        <item x="23"/>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72"/>
        <item x="33"/>
        <item x="80"/>
        <item x="97"/>
        <item x="42"/>
        <item x="107"/>
        <item x="93"/>
        <item x="59"/>
        <item x="68"/>
        <item x="52"/>
        <item x="20"/>
        <item x="28"/>
        <item x="9"/>
        <item x="57"/>
        <item x="21"/>
        <item x="34"/>
        <item x="25"/>
        <item x="47"/>
        <item x="58"/>
        <item x="1"/>
        <item x="101"/>
        <item x="67"/>
        <item x="102"/>
        <item x="53"/>
        <item x="14"/>
        <item x="87"/>
        <item x="54"/>
        <item x="92"/>
        <item x="29"/>
        <item x="104"/>
        <item x="35"/>
        <item x="90"/>
        <item x="96"/>
        <item x="39"/>
        <item x="91"/>
        <item x="55"/>
        <item x="50"/>
        <item x="27"/>
        <item x="56"/>
        <item x="41"/>
        <item x="75"/>
        <item x="15"/>
        <item x="4"/>
        <item x="69"/>
        <item x="32"/>
        <item x="105"/>
        <item x="8"/>
        <item x="76"/>
        <item x="24"/>
        <item x="81"/>
        <item x="60"/>
        <item x="73"/>
        <item x="94"/>
        <item x="106"/>
        <item x="83"/>
        <item t="default"/>
      </items>
    </pivotField>
    <pivotField showAll="0"/>
    <pivotField showAll="0">
      <items count="7">
        <item x="2"/>
        <item x="5"/>
        <item x="0"/>
        <item x="1"/>
        <item x="3"/>
        <item x="4"/>
        <item t="default"/>
      </items>
    </pivotField>
    <pivotField numFmtId="164" showAll="0"/>
    <pivotField numFmtId="164" showAll="0"/>
    <pivotField showAll="0"/>
    <pivotField numFmtId="165" showAll="0"/>
    <pivotField numFmtId="9" showAll="0"/>
    <pivotField dataField="1" numFmtId="165" showAll="0"/>
    <pivotField numFmtId="1" showAll="0"/>
    <pivotField showAll="0">
      <items count="4">
        <item x="0"/>
        <item x="1"/>
        <item x="2"/>
        <item t="default"/>
      </items>
    </pivotField>
    <pivotField axis="axisRow" showAll="0">
      <items count="6">
        <item x="1"/>
        <item x="0"/>
        <item x="3"/>
        <item x="2"/>
        <item x="4"/>
        <item t="default"/>
      </items>
    </pivotField>
    <pivotField name="Employment_Status" multipleItemSelectionAllowed="1" showAll="0">
      <items count="4">
        <item x="0"/>
        <item x="1"/>
        <item x="2"/>
        <item t="default"/>
      </items>
    </pivotField>
  </pivotFields>
  <rowFields count="1">
    <field x="14"/>
  </rowFields>
  <rowItems count="6">
    <i>
      <x/>
    </i>
    <i>
      <x v="1"/>
    </i>
    <i>
      <x v="2"/>
    </i>
    <i>
      <x v="3"/>
    </i>
    <i>
      <x v="4"/>
    </i>
    <i t="grand">
      <x/>
    </i>
  </rowItems>
  <colItems count="1">
    <i/>
  </colItems>
  <dataFields count="1">
    <dataField name="Sum of Eligible Bonus Amount" fld="11" baseField="1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9380B9-46DC-4EFA-913F-476F3892DAE9}"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I6" firstHeaderRow="1" firstDataRow="1" firstDataCol="1"/>
  <pivotFields count="16">
    <pivotField showAll="0"/>
    <pivotField showAll="0"/>
    <pivotField showAll="0"/>
    <pivotField showAll="0">
      <items count="110">
        <item x="86"/>
        <item x="19"/>
        <item x="43"/>
        <item x="40"/>
        <item x="18"/>
        <item x="23"/>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72"/>
        <item x="33"/>
        <item x="80"/>
        <item x="97"/>
        <item x="42"/>
        <item x="107"/>
        <item x="93"/>
        <item x="59"/>
        <item x="68"/>
        <item x="52"/>
        <item x="20"/>
        <item x="28"/>
        <item x="9"/>
        <item x="57"/>
        <item x="21"/>
        <item x="34"/>
        <item x="25"/>
        <item x="47"/>
        <item x="58"/>
        <item x="1"/>
        <item x="101"/>
        <item x="67"/>
        <item x="102"/>
        <item x="53"/>
        <item x="14"/>
        <item x="87"/>
        <item x="54"/>
        <item x="92"/>
        <item x="29"/>
        <item x="104"/>
        <item x="35"/>
        <item x="90"/>
        <item x="96"/>
        <item x="39"/>
        <item x="91"/>
        <item x="55"/>
        <item x="50"/>
        <item x="27"/>
        <item x="56"/>
        <item x="41"/>
        <item x="75"/>
        <item x="15"/>
        <item x="4"/>
        <item x="69"/>
        <item x="32"/>
        <item x="105"/>
        <item x="8"/>
        <item x="76"/>
        <item x="24"/>
        <item x="81"/>
        <item x="60"/>
        <item x="73"/>
        <item x="94"/>
        <item x="106"/>
        <item x="83"/>
        <item t="default"/>
      </items>
    </pivotField>
    <pivotField showAll="0"/>
    <pivotField showAll="0">
      <items count="7">
        <item x="2"/>
        <item x="5"/>
        <item x="0"/>
        <item x="1"/>
        <item x="3"/>
        <item x="4"/>
        <item t="default"/>
      </items>
    </pivotField>
    <pivotField numFmtId="164" showAll="0"/>
    <pivotField numFmtId="164" showAll="0"/>
    <pivotField showAll="0"/>
    <pivotField numFmtId="165" showAll="0"/>
    <pivotField numFmtId="9" showAll="0"/>
    <pivotField numFmtId="165" showAll="0"/>
    <pivotField dataField="1" numFmtId="1" showAll="0"/>
    <pivotField showAll="0">
      <items count="4">
        <item x="0"/>
        <item x="1"/>
        <item x="2"/>
        <item t="default"/>
      </items>
    </pivotField>
    <pivotField showAll="0"/>
    <pivotField name="Employment_Status" axis="axisRow" multipleItemSelectionAllowed="1" showAll="0">
      <items count="4">
        <item x="0"/>
        <item x="1"/>
        <item h="1" x="2"/>
        <item t="default"/>
      </items>
    </pivotField>
  </pivotFields>
  <rowFields count="1">
    <field x="15"/>
  </rowFields>
  <rowItems count="3">
    <i>
      <x/>
    </i>
    <i>
      <x v="1"/>
    </i>
    <i t="grand">
      <x/>
    </i>
  </rowItems>
  <colItems count="1">
    <i/>
  </colItems>
  <dataFields count="1">
    <dataField name="Average of Perf_Score" fld="12" subtotal="average" baseField="1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3317D-B594-4959-99D2-CE62887774EF}"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E24" firstHeaderRow="1" firstDataRow="2" firstDataCol="1"/>
  <pivotFields count="16">
    <pivotField dataField="1" showAll="0"/>
    <pivotField showAll="0"/>
    <pivotField showAll="0"/>
    <pivotField showAll="0">
      <items count="110">
        <item x="86"/>
        <item x="19"/>
        <item x="43"/>
        <item x="40"/>
        <item x="18"/>
        <item x="23"/>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72"/>
        <item x="33"/>
        <item x="80"/>
        <item x="97"/>
        <item x="42"/>
        <item x="107"/>
        <item x="93"/>
        <item x="59"/>
        <item x="68"/>
        <item x="52"/>
        <item x="20"/>
        <item x="28"/>
        <item x="9"/>
        <item x="57"/>
        <item x="21"/>
        <item x="34"/>
        <item x="25"/>
        <item x="47"/>
        <item x="58"/>
        <item x="1"/>
        <item x="101"/>
        <item x="67"/>
        <item x="102"/>
        <item x="53"/>
        <item x="14"/>
        <item x="87"/>
        <item x="54"/>
        <item x="92"/>
        <item x="29"/>
        <item x="104"/>
        <item x="35"/>
        <item x="90"/>
        <item x="96"/>
        <item x="39"/>
        <item x="91"/>
        <item x="55"/>
        <item x="50"/>
        <item x="27"/>
        <item x="56"/>
        <item x="41"/>
        <item x="75"/>
        <item x="15"/>
        <item x="4"/>
        <item x="69"/>
        <item x="32"/>
        <item x="105"/>
        <item x="8"/>
        <item x="76"/>
        <item x="24"/>
        <item x="81"/>
        <item x="60"/>
        <item x="73"/>
        <item x="94"/>
        <item x="106"/>
        <item x="83"/>
        <item t="default"/>
      </items>
    </pivotField>
    <pivotField showAll="0"/>
    <pivotField axis="axisRow" showAll="0">
      <items count="7">
        <item x="2"/>
        <item x="5"/>
        <item x="0"/>
        <item x="1"/>
        <item x="3"/>
        <item x="4"/>
        <item t="default"/>
      </items>
    </pivotField>
    <pivotField numFmtId="164" showAll="0"/>
    <pivotField numFmtId="164" showAll="0"/>
    <pivotField showAll="0"/>
    <pivotField numFmtId="165" showAll="0"/>
    <pivotField numFmtId="9" showAll="0"/>
    <pivotField numFmtId="165" showAll="0"/>
    <pivotField numFmtId="1" showAll="0"/>
    <pivotField showAll="0">
      <items count="4">
        <item x="0"/>
        <item x="1"/>
        <item x="2"/>
        <item t="default"/>
      </items>
    </pivotField>
    <pivotField showAll="0"/>
    <pivotField name="Employment_Status" axis="axisCol" multipleItemSelectionAllowed="1" showAll="0">
      <items count="4">
        <item x="0"/>
        <item x="1"/>
        <item x="2"/>
        <item t="default"/>
      </items>
    </pivotField>
  </pivotFields>
  <rowFields count="1">
    <field x="5"/>
  </rowFields>
  <rowItems count="7">
    <i>
      <x/>
    </i>
    <i>
      <x v="1"/>
    </i>
    <i>
      <x v="2"/>
    </i>
    <i>
      <x v="3"/>
    </i>
    <i>
      <x v="4"/>
    </i>
    <i>
      <x v="5"/>
    </i>
    <i t="grand">
      <x/>
    </i>
  </rowItems>
  <colFields count="1">
    <field x="15"/>
  </colFields>
  <colItems count="4">
    <i>
      <x/>
    </i>
    <i>
      <x v="1"/>
    </i>
    <i>
      <x v="2"/>
    </i>
    <i t="grand">
      <x/>
    </i>
  </colItems>
  <dataFields count="1">
    <dataField name="Count of Emp ID" fld="0" subtotal="count" showDataAs="percentOfRow" baseField="5" baseItem="4" numFmtId="10"/>
  </dataFields>
  <chartFormats count="3">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1BB1A5-89E6-41CE-8367-F04E5F4E4E45}"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epartments">
  <location ref="A3:C10" firstHeaderRow="0" firstDataRow="1" firstDataCol="1"/>
  <pivotFields count="16">
    <pivotField showAll="0"/>
    <pivotField showAll="0"/>
    <pivotField showAll="0"/>
    <pivotField dataField="1" showAll="0">
      <items count="110">
        <item x="86"/>
        <item x="19"/>
        <item x="43"/>
        <item x="40"/>
        <item x="18"/>
        <item x="23"/>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72"/>
        <item x="33"/>
        <item x="80"/>
        <item x="97"/>
        <item x="42"/>
        <item x="107"/>
        <item x="93"/>
        <item x="59"/>
        <item x="68"/>
        <item x="52"/>
        <item x="20"/>
        <item x="28"/>
        <item x="9"/>
        <item x="57"/>
        <item x="21"/>
        <item x="34"/>
        <item x="25"/>
        <item x="47"/>
        <item x="58"/>
        <item x="1"/>
        <item x="101"/>
        <item x="67"/>
        <item x="102"/>
        <item x="53"/>
        <item x="14"/>
        <item x="87"/>
        <item x="54"/>
        <item x="92"/>
        <item x="29"/>
        <item x="104"/>
        <item x="35"/>
        <item x="90"/>
        <item x="96"/>
        <item x="39"/>
        <item x="91"/>
        <item x="55"/>
        <item x="50"/>
        <item x="27"/>
        <item x="56"/>
        <item x="41"/>
        <item x="75"/>
        <item x="15"/>
        <item x="4"/>
        <item x="69"/>
        <item x="32"/>
        <item x="105"/>
        <item x="8"/>
        <item x="76"/>
        <item x="24"/>
        <item x="81"/>
        <item x="60"/>
        <item x="73"/>
        <item x="94"/>
        <item x="106"/>
        <item x="83"/>
        <item t="default"/>
      </items>
    </pivotField>
    <pivotField showAll="0"/>
    <pivotField axis="axisRow" showAll="0">
      <items count="7">
        <item x="2"/>
        <item x="5"/>
        <item x="0"/>
        <item x="1"/>
        <item x="3"/>
        <item x="4"/>
        <item t="default"/>
      </items>
    </pivotField>
    <pivotField numFmtId="164" showAll="0"/>
    <pivotField numFmtId="164" showAll="0"/>
    <pivotField showAll="0"/>
    <pivotField dataField="1" numFmtId="165" showAll="0"/>
    <pivotField numFmtId="9" showAll="0"/>
    <pivotField numFmtId="165" showAll="0"/>
    <pivotField numFmtId="1"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Headcount" fld="3" subtotal="count" baseField="5" baseItem="0"/>
    <dataField name="Average of Salary" fld="9" subtotal="average" baseField="5" baseItem="0" numFmtId="168"/>
  </dataFields>
  <formats count="2">
    <format dxfId="1">
      <pivotArea outline="0" collapsedLevelsAreSubtotals="1" fieldPosition="0">
        <references count="1">
          <reference field="4294967294" count="1" selected="0">
            <x v="1"/>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2" xr10:uid="{9B5FD27F-6452-4906-B93E-16C588BBB700}" sourceName="EmploymentStatus2">
  <pivotTables>
    <pivotTable tabId="4" name="PivotTable2"/>
  </pivotTables>
  <data>
    <tabular pivotCacheId="4485510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Status" xr10:uid="{0CDC7875-B7B9-4BC6-8233-7160066333E3}" cache="Slicer_EmploymentStatus2" caption="Employment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D42CA-D0D4-4389-84DA-BDF4957682E0}" name="Table1" displayName="Table1" ref="A1:P151" totalsRowShown="0" headerRowBorderDxfId="14" tableBorderDxfId="15">
  <autoFilter ref="A1:P151" xr:uid="{818974AF-16C4-4624-9A8A-23C555EDBF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38CFC86-02E9-4CC3-A90A-4436E0FCF230}" name="Emp ID"/>
    <tableColumn id="2" xr3:uid="{6B4B990E-B3A2-46DE-8D62-950A99F1D2EF}" name="First_Name" dataDxfId="13"/>
    <tableColumn id="3" xr3:uid="{737FC334-E039-41AA-BE39-539C46D6C8AA}" name="Last_Name" dataDxfId="12"/>
    <tableColumn id="4" xr3:uid="{CF82AA6C-5F96-4D3B-897B-42AD730043D4}" name="Full_Name" dataDxfId="11">
      <calculatedColumnFormula>B2&amp;" "&amp;C2</calculatedColumnFormula>
    </tableColumn>
    <tableColumn id="5" xr3:uid="{EBA7D809-8AA9-4563-967D-75D6CE191651}" name="DeptCode"/>
    <tableColumn id="6" xr3:uid="{20057E98-091E-4950-81CE-A623C53351A5}" name="Department Name">
      <calculatedColumnFormula>VLOOKUP(E2,Lookup_Departments!$A$2:$B$7,2,FALSE)</calculatedColumnFormula>
    </tableColumn>
    <tableColumn id="7" xr3:uid="{ACB630DF-2794-40B1-8AF4-4844B68428BE}" name="Hire Date" dataDxfId="10"/>
    <tableColumn id="8" xr3:uid="{67B6B446-0450-4758-92CB-63328BD51E13}" name="Today's Date " dataDxfId="9">
      <calculatedColumnFormula>TODAY()</calculatedColumnFormula>
    </tableColumn>
    <tableColumn id="9" xr3:uid="{093DB5B7-7365-4A15-A640-BA0124E796BF}" name="Years of Service" dataDxfId="8">
      <calculatedColumnFormula>INT(YEARFRAC(G2,H2))</calculatedColumnFormula>
    </tableColumn>
    <tableColumn id="10" xr3:uid="{77E651E9-7172-4730-9E0F-15944AC15268}" name="Salary" dataDxfId="7"/>
    <tableColumn id="11" xr3:uid="{B6DAB786-A819-4B6A-9C36-8175268FC316}" name="Bonus Percentage" dataDxfId="6">
      <calculatedColumnFormula>VLOOKUP(O2,Lookup_Performance!$C$1:$D$6,2,FALSE)</calculatedColumnFormula>
    </tableColumn>
    <tableColumn id="12" xr3:uid="{A7E9CEE1-6625-40E0-A807-7E40F445D7A9}" name="Eligible Bonus Amount" dataDxfId="5">
      <calculatedColumnFormula>J2*K2</calculatedColumnFormula>
    </tableColumn>
    <tableColumn id="13" xr3:uid="{EF3B7A5C-5B85-45AF-8690-E8AC90BAC9D4}" name="Perf_Score" dataDxfId="4"/>
    <tableColumn id="14" xr3:uid="{4AC3EACF-ED2F-4661-B8CE-226712E9343F}" name="EmploymentStatus" dataDxfId="3"/>
    <tableColumn id="15" xr3:uid="{ED8BD5AE-5DD8-4BC6-9C11-9F4320453DB3}" name="Performance Band" dataDxfId="2">
      <calculatedColumnFormula>IF(M2&lt;50, "Needs Improvement", IF(M2&lt;70, "Developing", IF(M2&lt;85, "Achieving", IF(M2&lt;95, "Exceeding", "Outstanding"))))</calculatedColumnFormula>
    </tableColumn>
    <tableColumn id="16" xr3:uid="{54C3071B-56F5-40B3-877C-E297854535A3}" name="Employment_Status">
      <calculatedColumnFormula>PROPER(N2)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CCFC-ABEF-4A54-B1B4-DBFB38021D97}">
  <dimension ref="A3:I24"/>
  <sheetViews>
    <sheetView workbookViewId="0">
      <selection activeCell="C4" sqref="C4"/>
    </sheetView>
  </sheetViews>
  <sheetFormatPr defaultRowHeight="14.5" x14ac:dyDescent="0.35"/>
  <cols>
    <col min="1" max="1" width="20.90625" bestFit="1" customWidth="1"/>
    <col min="2" max="2" width="10" bestFit="1" customWidth="1"/>
    <col min="3" max="3" width="15.26953125" bestFit="1" customWidth="1"/>
    <col min="4" max="4" width="8.26953125" bestFit="1" customWidth="1"/>
    <col min="5" max="5" width="10.7265625" bestFit="1" customWidth="1"/>
    <col min="8" max="8" width="18" bestFit="1" customWidth="1"/>
    <col min="9" max="9" width="26.1796875" bestFit="1" customWidth="1"/>
    <col min="10" max="10" width="6.81640625" bestFit="1" customWidth="1"/>
    <col min="11" max="11" width="8.26953125" bestFit="1" customWidth="1"/>
    <col min="12" max="12" width="10.7265625" bestFit="1" customWidth="1"/>
    <col min="13" max="14" width="24.1796875" bestFit="1" customWidth="1"/>
    <col min="15" max="15" width="19.453125" bestFit="1" customWidth="1"/>
    <col min="16" max="16" width="24.1796875" bestFit="1" customWidth="1"/>
  </cols>
  <sheetData>
    <row r="3" spans="1:9" x14ac:dyDescent="0.35">
      <c r="A3" s="17" t="s">
        <v>234</v>
      </c>
      <c r="B3" t="s">
        <v>228</v>
      </c>
      <c r="C3" t="s">
        <v>227</v>
      </c>
      <c r="H3" s="17" t="s">
        <v>225</v>
      </c>
      <c r="I3" t="s">
        <v>232</v>
      </c>
    </row>
    <row r="4" spans="1:9" x14ac:dyDescent="0.35">
      <c r="A4" s="18" t="s">
        <v>201</v>
      </c>
      <c r="B4" s="6">
        <v>17</v>
      </c>
      <c r="C4" s="9">
        <v>87173.588235294112</v>
      </c>
      <c r="H4" s="18" t="s">
        <v>37</v>
      </c>
      <c r="I4" s="4">
        <v>67.741379310344826</v>
      </c>
    </row>
    <row r="5" spans="1:9" x14ac:dyDescent="0.35">
      <c r="A5" s="18" t="s">
        <v>199</v>
      </c>
      <c r="B5" s="6">
        <v>18</v>
      </c>
      <c r="C5" s="9">
        <v>85536.277777777781</v>
      </c>
      <c r="H5" s="18" t="s">
        <v>24</v>
      </c>
      <c r="I5" s="4">
        <v>66.208333333333329</v>
      </c>
    </row>
    <row r="6" spans="1:9" x14ac:dyDescent="0.35">
      <c r="A6" s="18" t="s">
        <v>200</v>
      </c>
      <c r="B6" s="6">
        <v>36</v>
      </c>
      <c r="C6" s="9">
        <v>80512.833333333328</v>
      </c>
      <c r="H6" s="18" t="s">
        <v>226</v>
      </c>
      <c r="I6" s="4">
        <v>67.478571428571428</v>
      </c>
    </row>
    <row r="7" spans="1:9" x14ac:dyDescent="0.35">
      <c r="A7" s="18" t="s">
        <v>202</v>
      </c>
      <c r="B7" s="6">
        <v>19</v>
      </c>
      <c r="C7" s="9">
        <v>85407.947368421053</v>
      </c>
    </row>
    <row r="8" spans="1:9" x14ac:dyDescent="0.35">
      <c r="A8" s="18" t="s">
        <v>204</v>
      </c>
      <c r="B8" s="6">
        <v>29</v>
      </c>
      <c r="C8" s="9">
        <v>80049.931034482754</v>
      </c>
    </row>
    <row r="9" spans="1:9" x14ac:dyDescent="0.35">
      <c r="A9" s="18" t="s">
        <v>203</v>
      </c>
      <c r="B9" s="6">
        <v>31</v>
      </c>
      <c r="C9" s="9">
        <v>86333.096774193546</v>
      </c>
      <c r="H9" s="17" t="s">
        <v>225</v>
      </c>
      <c r="I9" t="s">
        <v>233</v>
      </c>
    </row>
    <row r="10" spans="1:9" x14ac:dyDescent="0.35">
      <c r="A10" s="18" t="s">
        <v>226</v>
      </c>
      <c r="B10" s="6">
        <v>150</v>
      </c>
      <c r="C10" s="9">
        <v>83603.94</v>
      </c>
      <c r="H10" s="18" t="s">
        <v>211</v>
      </c>
      <c r="I10" s="3">
        <v>165216.95000000004</v>
      </c>
    </row>
    <row r="11" spans="1:9" x14ac:dyDescent="0.35">
      <c r="H11" s="18" t="s">
        <v>210</v>
      </c>
      <c r="I11" s="3">
        <v>84593.280000000028</v>
      </c>
    </row>
    <row r="12" spans="1:9" x14ac:dyDescent="0.35">
      <c r="H12" s="18" t="s">
        <v>212</v>
      </c>
      <c r="I12" s="3">
        <v>144689.44</v>
      </c>
    </row>
    <row r="13" spans="1:9" x14ac:dyDescent="0.35">
      <c r="H13" s="18" t="s">
        <v>209</v>
      </c>
      <c r="I13" s="3">
        <v>0</v>
      </c>
    </row>
    <row r="14" spans="1:9" x14ac:dyDescent="0.35">
      <c r="H14" s="18" t="s">
        <v>213</v>
      </c>
      <c r="I14" s="3">
        <v>92411.520000000004</v>
      </c>
    </row>
    <row r="15" spans="1:9" x14ac:dyDescent="0.35">
      <c r="H15" s="18" t="s">
        <v>226</v>
      </c>
      <c r="I15" s="3">
        <v>486911.19000000006</v>
      </c>
    </row>
    <row r="16" spans="1:9" x14ac:dyDescent="0.35">
      <c r="A16" s="17" t="s">
        <v>231</v>
      </c>
      <c r="B16" s="17" t="s">
        <v>230</v>
      </c>
    </row>
    <row r="17" spans="1:5" x14ac:dyDescent="0.35">
      <c r="A17" s="17" t="s">
        <v>225</v>
      </c>
      <c r="B17" t="s">
        <v>37</v>
      </c>
      <c r="C17" t="s">
        <v>24</v>
      </c>
      <c r="D17" t="s">
        <v>86</v>
      </c>
      <c r="E17" t="s">
        <v>226</v>
      </c>
    </row>
    <row r="18" spans="1:5" x14ac:dyDescent="0.35">
      <c r="A18" s="18" t="s">
        <v>201</v>
      </c>
      <c r="B18" s="19">
        <v>0.82352941176470584</v>
      </c>
      <c r="C18" s="19">
        <v>0.17647058823529413</v>
      </c>
      <c r="D18" s="19">
        <v>0</v>
      </c>
      <c r="E18" s="19">
        <v>1</v>
      </c>
    </row>
    <row r="19" spans="1:5" x14ac:dyDescent="0.35">
      <c r="A19" s="18" t="s">
        <v>199</v>
      </c>
      <c r="B19" s="19">
        <v>0.83333333333333337</v>
      </c>
      <c r="C19" s="19">
        <v>0.1111111111111111</v>
      </c>
      <c r="D19" s="19">
        <v>5.5555555555555552E-2</v>
      </c>
      <c r="E19" s="19">
        <v>1</v>
      </c>
    </row>
    <row r="20" spans="1:5" x14ac:dyDescent="0.35">
      <c r="A20" s="18" t="s">
        <v>200</v>
      </c>
      <c r="B20" s="19">
        <v>0.77777777777777779</v>
      </c>
      <c r="C20" s="19">
        <v>0.16666666666666666</v>
      </c>
      <c r="D20" s="19">
        <v>5.5555555555555552E-2</v>
      </c>
      <c r="E20" s="19">
        <v>1</v>
      </c>
    </row>
    <row r="21" spans="1:5" x14ac:dyDescent="0.35">
      <c r="A21" s="18" t="s">
        <v>202</v>
      </c>
      <c r="B21" s="19">
        <v>0.84210526315789469</v>
      </c>
      <c r="C21" s="19">
        <v>0.15789473684210525</v>
      </c>
      <c r="D21" s="19">
        <v>0</v>
      </c>
      <c r="E21" s="19">
        <v>1</v>
      </c>
    </row>
    <row r="22" spans="1:5" x14ac:dyDescent="0.35">
      <c r="A22" s="18" t="s">
        <v>204</v>
      </c>
      <c r="B22" s="19">
        <v>0.62068965517241381</v>
      </c>
      <c r="C22" s="19">
        <v>0.20689655172413793</v>
      </c>
      <c r="D22" s="19">
        <v>0.17241379310344829</v>
      </c>
      <c r="E22" s="19">
        <v>1</v>
      </c>
    </row>
    <row r="23" spans="1:5" x14ac:dyDescent="0.35">
      <c r="A23" s="18" t="s">
        <v>203</v>
      </c>
      <c r="B23" s="19">
        <v>0.80645161290322576</v>
      </c>
      <c r="C23" s="19">
        <v>0.12903225806451613</v>
      </c>
      <c r="D23" s="19">
        <v>6.4516129032258063E-2</v>
      </c>
      <c r="E23" s="19">
        <v>1</v>
      </c>
    </row>
    <row r="24" spans="1:5" x14ac:dyDescent="0.35">
      <c r="A24" s="18" t="s">
        <v>226</v>
      </c>
      <c r="B24" s="19">
        <v>0.77333333333333332</v>
      </c>
      <c r="C24" s="19">
        <v>0.16</v>
      </c>
      <c r="D24" s="19">
        <v>6.6666666666666666E-2</v>
      </c>
      <c r="E24" s="19">
        <v>1</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720C-0B42-4D75-8492-A65D4C118B1B}">
  <dimension ref="A1"/>
  <sheetViews>
    <sheetView showGridLine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1"/>
  <sheetViews>
    <sheetView tabSelected="1" workbookViewId="0">
      <selection activeCell="A2" sqref="A2"/>
    </sheetView>
  </sheetViews>
  <sheetFormatPr defaultRowHeight="14.5" x14ac:dyDescent="0.35"/>
  <cols>
    <col min="1" max="1" width="8.81640625" customWidth="1"/>
    <col min="2" max="2" width="12.36328125" style="5" customWidth="1"/>
    <col min="3" max="3" width="12.08984375" style="5" customWidth="1"/>
    <col min="4" max="4" width="11.6328125" style="6" customWidth="1"/>
    <col min="5" max="5" width="11.1796875" customWidth="1"/>
    <col min="6" max="6" width="18.453125" customWidth="1"/>
    <col min="7" max="7" width="28" style="2" bestFit="1" customWidth="1"/>
    <col min="8" max="8" width="28" style="2" customWidth="1"/>
    <col min="9" max="9" width="28" style="6" customWidth="1"/>
    <col min="10" max="10" width="10.81640625" style="3" bestFit="1" customWidth="1"/>
    <col min="11" max="11" width="17.81640625" style="7" customWidth="1"/>
    <col min="12" max="12" width="21.54296875" style="3" customWidth="1"/>
    <col min="13" max="13" width="11.81640625" style="4" customWidth="1"/>
    <col min="14" max="14" width="0" style="5" hidden="1" customWidth="1"/>
    <col min="15" max="15" width="18.36328125" style="6" customWidth="1"/>
    <col min="16" max="16" width="19.7265625" customWidth="1"/>
  </cols>
  <sheetData>
    <row r="1" spans="1:17" x14ac:dyDescent="0.35">
      <c r="A1" s="10" t="s">
        <v>0</v>
      </c>
      <c r="B1" s="11" t="s">
        <v>1</v>
      </c>
      <c r="C1" s="11" t="s">
        <v>2</v>
      </c>
      <c r="D1" s="11" t="s">
        <v>220</v>
      </c>
      <c r="E1" s="10" t="s">
        <v>218</v>
      </c>
      <c r="F1" s="10" t="s">
        <v>219</v>
      </c>
      <c r="G1" s="12" t="s">
        <v>3</v>
      </c>
      <c r="H1" s="12" t="s">
        <v>235</v>
      </c>
      <c r="I1" s="11" t="s">
        <v>221</v>
      </c>
      <c r="J1" s="13" t="s">
        <v>4</v>
      </c>
      <c r="K1" s="14" t="s">
        <v>223</v>
      </c>
      <c r="L1" s="13" t="s">
        <v>224</v>
      </c>
      <c r="M1" s="15" t="s">
        <v>5</v>
      </c>
      <c r="N1" s="11" t="s">
        <v>215</v>
      </c>
      <c r="O1" s="16" t="s">
        <v>222</v>
      </c>
      <c r="P1" s="11" t="s">
        <v>229</v>
      </c>
    </row>
    <row r="2" spans="1:17" x14ac:dyDescent="0.35">
      <c r="A2" t="s">
        <v>6</v>
      </c>
      <c r="B2" s="5" t="s">
        <v>7</v>
      </c>
      <c r="C2" s="5" t="s">
        <v>8</v>
      </c>
      <c r="D2" s="5" t="str">
        <f>B2&amp;" "&amp;C2</f>
        <v>Emily Brown</v>
      </c>
      <c r="E2" t="s">
        <v>9</v>
      </c>
      <c r="F2" t="str">
        <f>VLOOKUP(E2,Lookup_Departments!$A$2:$B$7,2,FALSE)</f>
        <v>Information Technology</v>
      </c>
      <c r="G2" s="2">
        <v>43093</v>
      </c>
      <c r="H2" s="2">
        <f ca="1">TODAY()</f>
        <v>46208</v>
      </c>
      <c r="I2" s="6">
        <f ca="1">INT(YEARFRAC(G2,H2))</f>
        <v>8</v>
      </c>
      <c r="J2" s="3">
        <v>50361</v>
      </c>
      <c r="K2" s="8">
        <f>VLOOKUP(O2,Lookup_Performance!$C$1:$D$6,2,FALSE)</f>
        <v>0.02</v>
      </c>
      <c r="L2" s="3">
        <f>J2*K2</f>
        <v>1007.22</v>
      </c>
      <c r="M2" s="4">
        <v>52</v>
      </c>
      <c r="N2" s="5" t="s">
        <v>10</v>
      </c>
      <c r="O2" s="6" t="str">
        <f>IF(M2&lt;50, "Needs Improvement", IF(M2&lt;70, "Developing", IF(M2&lt;85, "Achieving", IF(M2&lt;95, "Exceeding", "Outstanding"))))</f>
        <v>Developing</v>
      </c>
      <c r="P2" t="str">
        <f>PROPER(N2)</f>
        <v>Active</v>
      </c>
      <c r="Q2" s="3"/>
    </row>
    <row r="3" spans="1:17" x14ac:dyDescent="0.35">
      <c r="A3" t="s">
        <v>11</v>
      </c>
      <c r="B3" s="5" t="s">
        <v>12</v>
      </c>
      <c r="C3" s="5" t="s">
        <v>13</v>
      </c>
      <c r="D3" s="5" t="str">
        <f>B3&amp;" "&amp;C3</f>
        <v>Richard Hernandez</v>
      </c>
      <c r="E3" t="s">
        <v>14</v>
      </c>
      <c r="F3" t="str">
        <f>VLOOKUP(E3,Lookup_Departments!$A$2:$B$7,2,FALSE)</f>
        <v>Marketing</v>
      </c>
      <c r="G3" s="2">
        <v>44659</v>
      </c>
      <c r="H3" s="2">
        <f t="shared" ref="H3:H66" ca="1" si="0">TODAY()</f>
        <v>46208</v>
      </c>
      <c r="I3" s="6">
        <f ca="1">INT(YEARFRAC(G3,H3))</f>
        <v>4</v>
      </c>
      <c r="J3" s="3">
        <v>112673</v>
      </c>
      <c r="K3" s="8">
        <f>VLOOKUP(O3,Lookup_Performance!$C$1:$D$6,2,FALSE)</f>
        <v>0.02</v>
      </c>
      <c r="L3" s="3">
        <f t="shared" ref="L3:L66" si="1">J3*K3</f>
        <v>2253.46</v>
      </c>
      <c r="M3" s="4">
        <v>68</v>
      </c>
      <c r="N3" s="5" t="s">
        <v>216</v>
      </c>
      <c r="O3" s="6" t="str">
        <f t="shared" ref="O3:O66" si="2">IF(M3&lt;50, "Needs Improvement", IF(M3&lt;70, "Developing", IF(M3&lt;85, "Achieving", IF(M3&lt;95, "Exceeding", "Outstanding"))))</f>
        <v>Developing</v>
      </c>
      <c r="P3" t="str">
        <f t="shared" ref="P3:P66" si="3">PROPER(N3)</f>
        <v>Active</v>
      </c>
    </row>
    <row r="4" spans="1:17" x14ac:dyDescent="0.35">
      <c r="A4" t="s">
        <v>15</v>
      </c>
      <c r="B4" s="5" t="s">
        <v>7</v>
      </c>
      <c r="C4" s="5" t="s">
        <v>16</v>
      </c>
      <c r="D4" s="5" t="str">
        <f t="shared" ref="D4:D67" si="4">B4&amp;" "&amp;C4</f>
        <v>Emily Gonzalez</v>
      </c>
      <c r="E4" t="s">
        <v>9</v>
      </c>
      <c r="F4" t="str">
        <f>VLOOKUP(E4,Lookup_Departments!$A$2:$B$7,2,FALSE)</f>
        <v>Information Technology</v>
      </c>
      <c r="G4" s="2">
        <v>42431</v>
      </c>
      <c r="H4" s="2">
        <f t="shared" ca="1" si="0"/>
        <v>46208</v>
      </c>
      <c r="I4" s="6">
        <f t="shared" ref="I4:I67" ca="1" si="5">INT(YEARFRAC(G4,H4))</f>
        <v>10</v>
      </c>
      <c r="J4" s="3">
        <v>114425</v>
      </c>
      <c r="K4" s="8">
        <f>VLOOKUP(O4,Lookup_Performance!$C$1:$D$6,2,FALSE)</f>
        <v>0.02</v>
      </c>
      <c r="L4" s="3">
        <f t="shared" si="1"/>
        <v>2288.5</v>
      </c>
      <c r="M4" s="4">
        <v>54</v>
      </c>
      <c r="N4" s="5" t="s">
        <v>217</v>
      </c>
      <c r="O4" s="6" t="str">
        <f t="shared" si="2"/>
        <v>Developing</v>
      </c>
      <c r="P4" t="str">
        <f t="shared" si="3"/>
        <v>Left</v>
      </c>
    </row>
    <row r="5" spans="1:17" x14ac:dyDescent="0.35">
      <c r="A5" t="s">
        <v>17</v>
      </c>
      <c r="B5" s="5" t="s">
        <v>18</v>
      </c>
      <c r="C5" s="5" t="s">
        <v>19</v>
      </c>
      <c r="D5" s="5" t="str">
        <f t="shared" si="4"/>
        <v>John Martinez</v>
      </c>
      <c r="E5" t="s">
        <v>20</v>
      </c>
      <c r="F5" t="str">
        <f>VLOOKUP(E5,Lookup_Departments!$A$2:$B$7,2,FALSE)</f>
        <v>Finance</v>
      </c>
      <c r="G5" s="2">
        <v>45110</v>
      </c>
      <c r="H5" s="2">
        <f t="shared" ca="1" si="0"/>
        <v>46208</v>
      </c>
      <c r="I5" s="6">
        <f t="shared" ca="1" si="5"/>
        <v>3</v>
      </c>
      <c r="J5" s="3">
        <v>103831</v>
      </c>
      <c r="K5" s="8">
        <f>VLOOKUP(O5,Lookup_Performance!$C$1:$D$6,2,FALSE)</f>
        <v>0.05</v>
      </c>
      <c r="L5" s="3">
        <f t="shared" si="1"/>
        <v>5191.55</v>
      </c>
      <c r="M5" s="4">
        <v>70</v>
      </c>
      <c r="N5" s="5" t="s">
        <v>10</v>
      </c>
      <c r="O5" s="6" t="str">
        <f t="shared" si="2"/>
        <v>Achieving</v>
      </c>
      <c r="P5" t="str">
        <f t="shared" si="3"/>
        <v>Active</v>
      </c>
    </row>
    <row r="6" spans="1:17" x14ac:dyDescent="0.35">
      <c r="A6" t="s">
        <v>21</v>
      </c>
      <c r="B6" s="5" t="s">
        <v>22</v>
      </c>
      <c r="C6" s="5" t="s">
        <v>23</v>
      </c>
      <c r="D6" s="5" t="str">
        <f t="shared" si="4"/>
        <v>Thomas Smith</v>
      </c>
      <c r="E6" t="s">
        <v>9</v>
      </c>
      <c r="F6" t="str">
        <f>VLOOKUP(E6,Lookup_Departments!$A$2:$B$7,2,FALSE)</f>
        <v>Information Technology</v>
      </c>
      <c r="G6" s="2">
        <v>44977</v>
      </c>
      <c r="H6" s="2">
        <f t="shared" ca="1" si="0"/>
        <v>46208</v>
      </c>
      <c r="I6" s="6">
        <f t="shared" ca="1" si="5"/>
        <v>3</v>
      </c>
      <c r="J6" s="3">
        <v>73785</v>
      </c>
      <c r="K6" s="8">
        <f>VLOOKUP(O6,Lookup_Performance!$C$1:$D$6,2,FALSE)</f>
        <v>0</v>
      </c>
      <c r="L6" s="3">
        <f t="shared" si="1"/>
        <v>0</v>
      </c>
      <c r="M6" s="4">
        <v>40</v>
      </c>
      <c r="N6" s="5" t="s">
        <v>24</v>
      </c>
      <c r="O6" s="6" t="str">
        <f t="shared" si="2"/>
        <v>Needs Improvement</v>
      </c>
      <c r="P6" t="str">
        <f t="shared" si="3"/>
        <v>Left</v>
      </c>
    </row>
    <row r="7" spans="1:17" x14ac:dyDescent="0.35">
      <c r="A7" t="s">
        <v>25</v>
      </c>
      <c r="B7" s="5" t="s">
        <v>7</v>
      </c>
      <c r="C7" s="5" t="s">
        <v>26</v>
      </c>
      <c r="D7" s="5" t="str">
        <f t="shared" si="4"/>
        <v>Emily Johnson</v>
      </c>
      <c r="E7" t="s">
        <v>27</v>
      </c>
      <c r="F7" t="str">
        <f>VLOOKUP(E7,Lookup_Departments!$A$2:$B$7,2,FALSE)</f>
        <v>Operations</v>
      </c>
      <c r="G7" s="2">
        <v>43892</v>
      </c>
      <c r="H7" s="2">
        <f t="shared" ca="1" si="0"/>
        <v>46208</v>
      </c>
      <c r="I7" s="6">
        <f t="shared" ca="1" si="5"/>
        <v>6</v>
      </c>
      <c r="J7" s="3">
        <v>115882</v>
      </c>
      <c r="K7" s="8">
        <f>VLOOKUP(O7,Lookup_Performance!$C$1:$D$6,2,FALSE)</f>
        <v>0</v>
      </c>
      <c r="L7" s="3">
        <f t="shared" si="1"/>
        <v>0</v>
      </c>
      <c r="M7" s="4">
        <v>49</v>
      </c>
      <c r="N7" s="5" t="s">
        <v>216</v>
      </c>
      <c r="O7" s="6" t="str">
        <f t="shared" si="2"/>
        <v>Needs Improvement</v>
      </c>
      <c r="P7" t="str">
        <f t="shared" si="3"/>
        <v>Active</v>
      </c>
    </row>
    <row r="8" spans="1:17" x14ac:dyDescent="0.35">
      <c r="A8" t="s">
        <v>28</v>
      </c>
      <c r="B8" s="5" t="s">
        <v>18</v>
      </c>
      <c r="C8" s="5" t="s">
        <v>29</v>
      </c>
      <c r="D8" s="5" t="str">
        <f t="shared" si="4"/>
        <v>John Wilson</v>
      </c>
      <c r="E8" t="s">
        <v>27</v>
      </c>
      <c r="F8" t="str">
        <f>VLOOKUP(E8,Lookup_Departments!$A$2:$B$7,2,FALSE)</f>
        <v>Operations</v>
      </c>
      <c r="G8" s="2">
        <v>45272</v>
      </c>
      <c r="H8" s="2">
        <f t="shared" ca="1" si="0"/>
        <v>46208</v>
      </c>
      <c r="I8" s="6">
        <f t="shared" ca="1" si="5"/>
        <v>2</v>
      </c>
      <c r="J8" s="3">
        <v>59980</v>
      </c>
      <c r="K8" s="8">
        <f>VLOOKUP(O8,Lookup_Performance!$C$1:$D$6,2,FALSE)</f>
        <v>0.05</v>
      </c>
      <c r="L8" s="3">
        <f t="shared" si="1"/>
        <v>2999</v>
      </c>
      <c r="M8" s="4">
        <v>70</v>
      </c>
      <c r="N8" s="5" t="s">
        <v>24</v>
      </c>
      <c r="O8" s="6" t="str">
        <f t="shared" si="2"/>
        <v>Achieving</v>
      </c>
      <c r="P8" t="str">
        <f t="shared" si="3"/>
        <v>Left</v>
      </c>
    </row>
    <row r="9" spans="1:17" x14ac:dyDescent="0.35">
      <c r="A9" t="s">
        <v>30</v>
      </c>
      <c r="B9" s="5" t="s">
        <v>31</v>
      </c>
      <c r="C9" s="5" t="s">
        <v>23</v>
      </c>
      <c r="D9" s="5" t="str">
        <f t="shared" si="4"/>
        <v>Jessica Smith</v>
      </c>
      <c r="E9" t="s">
        <v>27</v>
      </c>
      <c r="F9" t="str">
        <f>VLOOKUP(E9,Lookup_Departments!$A$2:$B$7,2,FALSE)</f>
        <v>Operations</v>
      </c>
      <c r="G9" s="2">
        <v>44174</v>
      </c>
      <c r="H9" s="2">
        <f t="shared" ca="1" si="0"/>
        <v>46208</v>
      </c>
      <c r="I9" s="6">
        <f t="shared" ca="1" si="5"/>
        <v>5</v>
      </c>
      <c r="J9" s="3">
        <v>68728</v>
      </c>
      <c r="K9" s="8">
        <f>VLOOKUP(O9,Lookup_Performance!$C$1:$D$6,2,FALSE)</f>
        <v>0</v>
      </c>
      <c r="L9" s="3">
        <f t="shared" si="1"/>
        <v>0</v>
      </c>
      <c r="M9" s="4">
        <v>45</v>
      </c>
      <c r="N9" s="5" t="s">
        <v>216</v>
      </c>
      <c r="O9" s="6" t="str">
        <f t="shared" si="2"/>
        <v>Needs Improvement</v>
      </c>
      <c r="P9" t="str">
        <f t="shared" si="3"/>
        <v>Active</v>
      </c>
    </row>
    <row r="10" spans="1:17" x14ac:dyDescent="0.35">
      <c r="A10" t="s">
        <v>32</v>
      </c>
      <c r="B10" s="5" t="s">
        <v>214</v>
      </c>
      <c r="C10" s="5" t="s">
        <v>33</v>
      </c>
      <c r="D10" s="5" t="str">
        <f t="shared" si="4"/>
        <v>Unknown Rodriguez</v>
      </c>
      <c r="E10" t="s">
        <v>20</v>
      </c>
      <c r="F10" t="str">
        <f>VLOOKUP(E10,Lookup_Departments!$A$2:$B$7,2,FALSE)</f>
        <v>Finance</v>
      </c>
      <c r="G10" s="2">
        <v>43107</v>
      </c>
      <c r="H10" s="2">
        <f t="shared" ca="1" si="0"/>
        <v>46208</v>
      </c>
      <c r="I10" s="6">
        <f t="shared" ca="1" si="5"/>
        <v>8</v>
      </c>
      <c r="J10" s="3">
        <v>102139</v>
      </c>
      <c r="K10" s="8">
        <f>VLOOKUP(O10,Lookup_Performance!$C$1:$D$6,2,FALSE)</f>
        <v>0.05</v>
      </c>
      <c r="L10" s="3">
        <f t="shared" si="1"/>
        <v>5106.9500000000007</v>
      </c>
      <c r="M10" s="4">
        <v>79</v>
      </c>
      <c r="N10" s="5" t="s">
        <v>10</v>
      </c>
      <c r="O10" s="6" t="str">
        <f t="shared" si="2"/>
        <v>Achieving</v>
      </c>
      <c r="P10" t="str">
        <f t="shared" si="3"/>
        <v>Active</v>
      </c>
    </row>
    <row r="11" spans="1:17" x14ac:dyDescent="0.35">
      <c r="A11" t="s">
        <v>34</v>
      </c>
      <c r="B11" s="5" t="s">
        <v>35</v>
      </c>
      <c r="C11" s="5" t="s">
        <v>19</v>
      </c>
      <c r="D11" s="5" t="str">
        <f t="shared" si="4"/>
        <v>Michael Martinez</v>
      </c>
      <c r="E11" t="s">
        <v>36</v>
      </c>
      <c r="F11" t="str">
        <f>VLOOKUP(E11,Lookup_Departments!$A$2:$B$7,2,FALSE)</f>
        <v>Sales</v>
      </c>
      <c r="G11" s="2">
        <v>42676</v>
      </c>
      <c r="H11" s="2">
        <f t="shared" ca="1" si="0"/>
        <v>46208</v>
      </c>
      <c r="I11" s="6">
        <f t="shared" ca="1" si="5"/>
        <v>9</v>
      </c>
      <c r="J11" s="3">
        <v>94998</v>
      </c>
      <c r="K11" s="8">
        <f>VLOOKUP(O11,Lookup_Performance!$C$1:$D$6,2,FALSE)</f>
        <v>0.02</v>
      </c>
      <c r="L11" s="3">
        <f t="shared" si="1"/>
        <v>1899.96</v>
      </c>
      <c r="M11" s="4">
        <v>58</v>
      </c>
      <c r="N11" s="5" t="s">
        <v>37</v>
      </c>
      <c r="O11" s="6" t="str">
        <f t="shared" si="2"/>
        <v>Developing</v>
      </c>
      <c r="P11" t="str">
        <f t="shared" si="3"/>
        <v>Active</v>
      </c>
    </row>
    <row r="12" spans="1:17" x14ac:dyDescent="0.35">
      <c r="A12" t="s">
        <v>38</v>
      </c>
      <c r="B12" s="5" t="s">
        <v>7</v>
      </c>
      <c r="C12" s="5" t="s">
        <v>39</v>
      </c>
      <c r="D12" s="5" t="str">
        <f t="shared" si="4"/>
        <v>Emily Miller</v>
      </c>
      <c r="E12" t="s">
        <v>36</v>
      </c>
      <c r="F12" t="str">
        <f>VLOOKUP(E12,Lookup_Departments!$A$2:$B$7,2,FALSE)</f>
        <v>Sales</v>
      </c>
      <c r="G12" s="2">
        <v>43911</v>
      </c>
      <c r="H12" s="2">
        <f t="shared" ca="1" si="0"/>
        <v>46208</v>
      </c>
      <c r="I12" s="6">
        <f t="shared" ca="1" si="5"/>
        <v>6</v>
      </c>
      <c r="J12" s="3">
        <v>118635</v>
      </c>
      <c r="K12" s="8">
        <f>VLOOKUP(O12,Lookup_Performance!$C$1:$D$6,2,FALSE)</f>
        <v>0</v>
      </c>
      <c r="L12" s="3">
        <f t="shared" si="1"/>
        <v>0</v>
      </c>
      <c r="M12" s="4">
        <v>49</v>
      </c>
      <c r="N12" s="5" t="s">
        <v>37</v>
      </c>
      <c r="O12" s="6" t="str">
        <f t="shared" si="2"/>
        <v>Needs Improvement</v>
      </c>
      <c r="P12" t="str">
        <f t="shared" si="3"/>
        <v>Active</v>
      </c>
    </row>
    <row r="13" spans="1:17" x14ac:dyDescent="0.35">
      <c r="A13" t="s">
        <v>40</v>
      </c>
      <c r="B13" s="5" t="s">
        <v>7</v>
      </c>
      <c r="C13" s="5" t="s">
        <v>13</v>
      </c>
      <c r="D13" s="5" t="str">
        <f t="shared" si="4"/>
        <v>Emily Hernandez</v>
      </c>
      <c r="E13" t="s">
        <v>9</v>
      </c>
      <c r="F13" t="str">
        <f>VLOOKUP(E13,Lookup_Departments!$A$2:$B$7,2,FALSE)</f>
        <v>Information Technology</v>
      </c>
      <c r="G13" s="2">
        <v>42425</v>
      </c>
      <c r="H13" s="2">
        <f t="shared" ca="1" si="0"/>
        <v>46208</v>
      </c>
      <c r="I13" s="6">
        <f t="shared" ca="1" si="5"/>
        <v>10</v>
      </c>
      <c r="J13" s="3">
        <v>76918</v>
      </c>
      <c r="K13" s="8">
        <f>VLOOKUP(O13,Lookup_Performance!$C$1:$D$6,2,FALSE)</f>
        <v>0.02</v>
      </c>
      <c r="L13" s="3">
        <f t="shared" si="1"/>
        <v>1538.3600000000001</v>
      </c>
      <c r="M13" s="4">
        <v>62</v>
      </c>
      <c r="N13" s="5" t="s">
        <v>37</v>
      </c>
      <c r="O13" s="6" t="str">
        <f t="shared" si="2"/>
        <v>Developing</v>
      </c>
      <c r="P13" t="str">
        <f t="shared" si="3"/>
        <v>Active</v>
      </c>
    </row>
    <row r="14" spans="1:17" x14ac:dyDescent="0.35">
      <c r="A14" t="s">
        <v>41</v>
      </c>
      <c r="B14" s="5" t="s">
        <v>42</v>
      </c>
      <c r="C14" s="5" t="s">
        <v>43</v>
      </c>
      <c r="D14" s="5" t="str">
        <f t="shared" si="4"/>
        <v>Jane Williams</v>
      </c>
      <c r="E14" t="s">
        <v>14</v>
      </c>
      <c r="F14" t="str">
        <f>VLOOKUP(E14,Lookup_Departments!$A$2:$B$7,2,FALSE)</f>
        <v>Marketing</v>
      </c>
      <c r="G14" s="2">
        <v>44364</v>
      </c>
      <c r="H14" s="2">
        <f t="shared" ca="1" si="0"/>
        <v>46208</v>
      </c>
      <c r="I14" s="6">
        <f t="shared" ca="1" si="5"/>
        <v>5</v>
      </c>
      <c r="J14" s="3">
        <v>61408</v>
      </c>
      <c r="K14" s="8">
        <f>VLOOKUP(O14,Lookup_Performance!$C$1:$D$6,2,FALSE)</f>
        <v>0</v>
      </c>
      <c r="L14" s="3">
        <f t="shared" si="1"/>
        <v>0</v>
      </c>
      <c r="M14" s="4">
        <v>48</v>
      </c>
      <c r="N14" s="5" t="s">
        <v>216</v>
      </c>
      <c r="O14" s="6" t="str">
        <f t="shared" si="2"/>
        <v>Needs Improvement</v>
      </c>
      <c r="P14" t="str">
        <f t="shared" si="3"/>
        <v>Active</v>
      </c>
    </row>
    <row r="15" spans="1:17" x14ac:dyDescent="0.35">
      <c r="A15" t="s">
        <v>44</v>
      </c>
      <c r="B15" s="5" t="s">
        <v>42</v>
      </c>
      <c r="C15" s="5" t="s">
        <v>39</v>
      </c>
      <c r="D15" s="5" t="str">
        <f t="shared" si="4"/>
        <v>Jane Miller</v>
      </c>
      <c r="E15" t="s">
        <v>14</v>
      </c>
      <c r="F15" t="str">
        <f>VLOOKUP(E15,Lookup_Departments!$A$2:$B$7,2,FALSE)</f>
        <v>Marketing</v>
      </c>
      <c r="G15" s="2">
        <v>44001</v>
      </c>
      <c r="H15" s="2">
        <f t="shared" ca="1" si="0"/>
        <v>46208</v>
      </c>
      <c r="I15" s="6">
        <f t="shared" ca="1" si="5"/>
        <v>6</v>
      </c>
      <c r="J15" s="3">
        <v>99990</v>
      </c>
      <c r="K15" s="8">
        <f>VLOOKUP(O15,Lookup_Performance!$C$1:$D$6,2,FALSE)</f>
        <v>0.02</v>
      </c>
      <c r="L15" s="3">
        <f t="shared" si="1"/>
        <v>1999.8</v>
      </c>
      <c r="M15" s="4">
        <v>54</v>
      </c>
      <c r="N15" s="5" t="s">
        <v>37</v>
      </c>
      <c r="O15" s="6" t="str">
        <f t="shared" si="2"/>
        <v>Developing</v>
      </c>
      <c r="P15" t="str">
        <f t="shared" si="3"/>
        <v>Active</v>
      </c>
    </row>
    <row r="16" spans="1:17" x14ac:dyDescent="0.35">
      <c r="A16" t="s">
        <v>45</v>
      </c>
      <c r="B16" s="5" t="s">
        <v>46</v>
      </c>
      <c r="C16" s="5" t="s">
        <v>47</v>
      </c>
      <c r="D16" s="5" t="str">
        <f t="shared" si="4"/>
        <v>Robert Jones</v>
      </c>
      <c r="E16" t="s">
        <v>14</v>
      </c>
      <c r="F16" t="str">
        <f>VLOOKUP(E16,Lookup_Departments!$A$2:$B$7,2,FALSE)</f>
        <v>Marketing</v>
      </c>
      <c r="G16" s="2">
        <v>43820</v>
      </c>
      <c r="H16" s="2">
        <f t="shared" ca="1" si="0"/>
        <v>46208</v>
      </c>
      <c r="I16" s="6">
        <f t="shared" ca="1" si="5"/>
        <v>6</v>
      </c>
      <c r="J16" s="3">
        <v>80385</v>
      </c>
      <c r="K16" s="8">
        <f>VLOOKUP(O16,Lookup_Performance!$C$1:$D$6,2,FALSE)</f>
        <v>0.02</v>
      </c>
      <c r="L16" s="3">
        <f t="shared" si="1"/>
        <v>1607.7</v>
      </c>
      <c r="M16" s="4">
        <v>68</v>
      </c>
      <c r="N16" s="5" t="s">
        <v>10</v>
      </c>
      <c r="O16" s="6" t="str">
        <f t="shared" si="2"/>
        <v>Developing</v>
      </c>
      <c r="P16" t="str">
        <f t="shared" si="3"/>
        <v>Active</v>
      </c>
    </row>
    <row r="17" spans="1:16" x14ac:dyDescent="0.35">
      <c r="A17" t="s">
        <v>48</v>
      </c>
      <c r="B17" s="5" t="s">
        <v>22</v>
      </c>
      <c r="C17" s="5" t="s">
        <v>33</v>
      </c>
      <c r="D17" s="5" t="str">
        <f t="shared" si="4"/>
        <v>Thomas Rodriguez</v>
      </c>
      <c r="E17" t="s">
        <v>36</v>
      </c>
      <c r="F17" t="str">
        <f>VLOOKUP(E17,Lookup_Departments!$A$2:$B$7,2,FALSE)</f>
        <v>Sales</v>
      </c>
      <c r="G17" s="2">
        <v>45169</v>
      </c>
      <c r="H17" s="2">
        <f t="shared" ca="1" si="0"/>
        <v>46208</v>
      </c>
      <c r="I17" s="6">
        <f t="shared" ca="1" si="5"/>
        <v>2</v>
      </c>
      <c r="J17" s="3">
        <v>65290</v>
      </c>
      <c r="K17" s="8">
        <f>VLOOKUP(O17,Lookup_Performance!$C$1:$D$6,2,FALSE)</f>
        <v>0.05</v>
      </c>
      <c r="L17" s="3">
        <f t="shared" si="1"/>
        <v>3264.5</v>
      </c>
      <c r="M17" s="4">
        <v>77</v>
      </c>
      <c r="N17" s="5" t="s">
        <v>10</v>
      </c>
      <c r="O17" s="6" t="str">
        <f t="shared" si="2"/>
        <v>Achieving</v>
      </c>
      <c r="P17" t="str">
        <f t="shared" si="3"/>
        <v>Active</v>
      </c>
    </row>
    <row r="18" spans="1:16" x14ac:dyDescent="0.35">
      <c r="A18" t="s">
        <v>49</v>
      </c>
      <c r="B18" s="5" t="s">
        <v>7</v>
      </c>
      <c r="C18" s="5" t="s">
        <v>50</v>
      </c>
      <c r="D18" s="5" t="str">
        <f t="shared" si="4"/>
        <v>Emily Davis</v>
      </c>
      <c r="E18" t="s">
        <v>9</v>
      </c>
      <c r="F18" t="str">
        <f>VLOOKUP(E18,Lookup_Departments!$A$2:$B$7,2,FALSE)</f>
        <v>Information Technology</v>
      </c>
      <c r="G18" s="2">
        <v>42337</v>
      </c>
      <c r="H18" s="2">
        <f t="shared" ca="1" si="0"/>
        <v>46208</v>
      </c>
      <c r="I18" s="6">
        <f t="shared" ca="1" si="5"/>
        <v>10</v>
      </c>
      <c r="J18" s="3">
        <v>105765</v>
      </c>
      <c r="K18" s="8">
        <f>VLOOKUP(O18,Lookup_Performance!$C$1:$D$6,2,FALSE)</f>
        <v>0</v>
      </c>
      <c r="L18" s="3">
        <f t="shared" si="1"/>
        <v>0</v>
      </c>
      <c r="M18" s="4">
        <v>42</v>
      </c>
      <c r="N18" s="5" t="s">
        <v>37</v>
      </c>
      <c r="O18" s="6" t="str">
        <f t="shared" si="2"/>
        <v>Needs Improvement</v>
      </c>
      <c r="P18" t="str">
        <f t="shared" si="3"/>
        <v>Active</v>
      </c>
    </row>
    <row r="19" spans="1:16" x14ac:dyDescent="0.35">
      <c r="A19" t="s">
        <v>51</v>
      </c>
      <c r="B19" s="5" t="s">
        <v>52</v>
      </c>
      <c r="C19" s="5" t="s">
        <v>19</v>
      </c>
      <c r="D19" s="5" t="str">
        <f t="shared" si="4"/>
        <v>James Martinez</v>
      </c>
      <c r="E19" t="s">
        <v>36</v>
      </c>
      <c r="F19" t="str">
        <f>VLOOKUP(E19,Lookup_Departments!$A$2:$B$7,2,FALSE)</f>
        <v>Sales</v>
      </c>
      <c r="G19" s="2">
        <v>42899</v>
      </c>
      <c r="H19" s="2">
        <f t="shared" ca="1" si="0"/>
        <v>46208</v>
      </c>
      <c r="I19" s="6">
        <f t="shared" ca="1" si="5"/>
        <v>9</v>
      </c>
      <c r="J19" s="3">
        <v>102921</v>
      </c>
      <c r="K19" s="8">
        <f>VLOOKUP(O19,Lookup_Performance!$C$1:$D$6,2,FALSE)</f>
        <v>0</v>
      </c>
      <c r="L19" s="3">
        <f t="shared" si="1"/>
        <v>0</v>
      </c>
      <c r="M19" s="4">
        <v>49</v>
      </c>
      <c r="N19" s="5" t="s">
        <v>216</v>
      </c>
      <c r="O19" s="6" t="str">
        <f t="shared" si="2"/>
        <v>Needs Improvement</v>
      </c>
      <c r="P19" t="str">
        <f t="shared" si="3"/>
        <v>Active</v>
      </c>
    </row>
    <row r="20" spans="1:16" x14ac:dyDescent="0.35">
      <c r="A20" t="s">
        <v>53</v>
      </c>
      <c r="B20" s="5" t="s">
        <v>54</v>
      </c>
      <c r="C20" s="5" t="s">
        <v>55</v>
      </c>
      <c r="D20" s="5" t="str">
        <f t="shared" si="4"/>
        <v>Ashley Lopez</v>
      </c>
      <c r="E20" t="s">
        <v>14</v>
      </c>
      <c r="F20" t="str">
        <f>VLOOKUP(E20,Lookup_Departments!$A$2:$B$7,2,FALSE)</f>
        <v>Marketing</v>
      </c>
      <c r="G20" s="2">
        <v>43235</v>
      </c>
      <c r="H20" s="2">
        <f t="shared" ca="1" si="0"/>
        <v>46208</v>
      </c>
      <c r="I20" s="6">
        <f t="shared" ca="1" si="5"/>
        <v>8</v>
      </c>
      <c r="J20" s="3">
        <v>73984</v>
      </c>
      <c r="K20" s="8">
        <f>VLOOKUP(O20,Lookup_Performance!$C$1:$D$6,2,FALSE)</f>
        <v>0.08</v>
      </c>
      <c r="L20" s="3">
        <f t="shared" si="1"/>
        <v>5918.72</v>
      </c>
      <c r="M20" s="4">
        <v>93</v>
      </c>
      <c r="N20" s="5" t="s">
        <v>37</v>
      </c>
      <c r="O20" s="6" t="str">
        <f t="shared" si="2"/>
        <v>Exceeding</v>
      </c>
      <c r="P20" t="str">
        <f t="shared" si="3"/>
        <v>Active</v>
      </c>
    </row>
    <row r="21" spans="1:16" x14ac:dyDescent="0.35">
      <c r="A21" t="s">
        <v>56</v>
      </c>
      <c r="B21" s="5" t="s">
        <v>57</v>
      </c>
      <c r="C21" s="5" t="s">
        <v>16</v>
      </c>
      <c r="D21" s="5" t="str">
        <f t="shared" si="4"/>
        <v>Amanda Gonzalez</v>
      </c>
      <c r="E21" t="s">
        <v>9</v>
      </c>
      <c r="F21" t="str">
        <f>VLOOKUP(E21,Lookup_Departments!$A$2:$B$7,2,FALSE)</f>
        <v>Information Technology</v>
      </c>
      <c r="G21" s="2">
        <v>42575</v>
      </c>
      <c r="H21" s="2">
        <f t="shared" ca="1" si="0"/>
        <v>46208</v>
      </c>
      <c r="I21" s="6">
        <f t="shared" ca="1" si="5"/>
        <v>9</v>
      </c>
      <c r="J21" s="3">
        <v>83604</v>
      </c>
      <c r="K21" s="8">
        <f>VLOOKUP(O21,Lookup_Performance!$C$1:$D$6,2,FALSE)</f>
        <v>0.05</v>
      </c>
      <c r="L21" s="3">
        <f t="shared" si="1"/>
        <v>4180.2</v>
      </c>
      <c r="M21" s="4">
        <v>75</v>
      </c>
      <c r="N21" s="5" t="s">
        <v>37</v>
      </c>
      <c r="O21" s="6" t="str">
        <f t="shared" si="2"/>
        <v>Achieving</v>
      </c>
      <c r="P21" t="str">
        <f t="shared" si="3"/>
        <v>Active</v>
      </c>
    </row>
    <row r="22" spans="1:16" x14ac:dyDescent="0.35">
      <c r="A22" t="s">
        <v>58</v>
      </c>
      <c r="B22" s="5" t="s">
        <v>35</v>
      </c>
      <c r="C22" s="5" t="s">
        <v>13</v>
      </c>
      <c r="D22" s="5" t="str">
        <f t="shared" si="4"/>
        <v>Michael Hernandez</v>
      </c>
      <c r="E22" t="s">
        <v>20</v>
      </c>
      <c r="F22" t="str">
        <f>VLOOKUP(E22,Lookup_Departments!$A$2:$B$7,2,FALSE)</f>
        <v>Finance</v>
      </c>
      <c r="G22" s="2">
        <v>43076</v>
      </c>
      <c r="H22" s="2">
        <f t="shared" ca="1" si="0"/>
        <v>46208</v>
      </c>
      <c r="I22" s="6">
        <f t="shared" ca="1" si="5"/>
        <v>8</v>
      </c>
      <c r="J22" s="3">
        <v>118527</v>
      </c>
      <c r="K22" s="8">
        <f>VLOOKUP(O22,Lookup_Performance!$C$1:$D$6,2,FALSE)</f>
        <v>0.02</v>
      </c>
      <c r="L22" s="3">
        <f t="shared" si="1"/>
        <v>2370.54</v>
      </c>
      <c r="M22" s="4">
        <v>50</v>
      </c>
      <c r="N22" s="5" t="s">
        <v>37</v>
      </c>
      <c r="O22" s="6" t="str">
        <f t="shared" si="2"/>
        <v>Developing</v>
      </c>
      <c r="P22" t="str">
        <f t="shared" si="3"/>
        <v>Active</v>
      </c>
    </row>
    <row r="23" spans="1:16" x14ac:dyDescent="0.35">
      <c r="A23" t="s">
        <v>59</v>
      </c>
      <c r="B23" s="5" t="s">
        <v>12</v>
      </c>
      <c r="C23" s="5" t="s">
        <v>13</v>
      </c>
      <c r="D23" s="5" t="str">
        <f t="shared" si="4"/>
        <v>Richard Hernandez</v>
      </c>
      <c r="E23" t="s">
        <v>14</v>
      </c>
      <c r="F23" t="str">
        <f>VLOOKUP(E23,Lookup_Departments!$A$2:$B$7,2,FALSE)</f>
        <v>Marketing</v>
      </c>
      <c r="G23" s="2">
        <v>44353</v>
      </c>
      <c r="H23" s="2">
        <f t="shared" ca="1" si="0"/>
        <v>46208</v>
      </c>
      <c r="I23" s="6">
        <f t="shared" ca="1" si="5"/>
        <v>5</v>
      </c>
      <c r="J23" s="3">
        <v>107871</v>
      </c>
      <c r="K23" s="8">
        <f>VLOOKUP(O23,Lookup_Performance!$C$1:$D$6,2,FALSE)</f>
        <v>0.08</v>
      </c>
      <c r="L23" s="3">
        <f t="shared" si="1"/>
        <v>8629.68</v>
      </c>
      <c r="M23" s="4">
        <v>88</v>
      </c>
      <c r="N23" s="5" t="s">
        <v>10</v>
      </c>
      <c r="O23" s="6" t="str">
        <f t="shared" si="2"/>
        <v>Exceeding</v>
      </c>
      <c r="P23" t="str">
        <f t="shared" si="3"/>
        <v>Active</v>
      </c>
    </row>
    <row r="24" spans="1:16" x14ac:dyDescent="0.35">
      <c r="A24" t="s">
        <v>60</v>
      </c>
      <c r="B24" s="5" t="s">
        <v>35</v>
      </c>
      <c r="C24" s="5" t="s">
        <v>33</v>
      </c>
      <c r="D24" s="5" t="str">
        <f t="shared" si="4"/>
        <v>Michael Rodriguez</v>
      </c>
      <c r="E24" t="s">
        <v>9</v>
      </c>
      <c r="F24" t="str">
        <f>VLOOKUP(E24,Lookup_Departments!$A$2:$B$7,2,FALSE)</f>
        <v>Information Technology</v>
      </c>
      <c r="G24" s="2">
        <v>44815</v>
      </c>
      <c r="H24" s="2">
        <f t="shared" ca="1" si="0"/>
        <v>46208</v>
      </c>
      <c r="I24" s="6">
        <f t="shared" ca="1" si="5"/>
        <v>3</v>
      </c>
      <c r="J24" s="3">
        <v>93956</v>
      </c>
      <c r="K24" s="8">
        <f>VLOOKUP(O24,Lookup_Performance!$C$1:$D$6,2,FALSE)</f>
        <v>0.02</v>
      </c>
      <c r="L24" s="3">
        <f t="shared" si="1"/>
        <v>1879.1200000000001</v>
      </c>
      <c r="M24" s="4">
        <v>50</v>
      </c>
      <c r="N24" s="5" t="s">
        <v>217</v>
      </c>
      <c r="O24" s="6" t="str">
        <f t="shared" si="2"/>
        <v>Developing</v>
      </c>
      <c r="P24" t="str">
        <f t="shared" si="3"/>
        <v>Left</v>
      </c>
    </row>
    <row r="25" spans="1:16" x14ac:dyDescent="0.35">
      <c r="A25" t="s">
        <v>61</v>
      </c>
      <c r="B25" s="5" t="s">
        <v>31</v>
      </c>
      <c r="C25" s="5" t="s">
        <v>26</v>
      </c>
      <c r="D25" s="5" t="str">
        <f t="shared" si="4"/>
        <v>Jessica Johnson</v>
      </c>
      <c r="E25" t="s">
        <v>20</v>
      </c>
      <c r="F25" t="str">
        <f>VLOOKUP(E25,Lookup_Departments!$A$2:$B$7,2,FALSE)</f>
        <v>Finance</v>
      </c>
      <c r="G25" s="2">
        <v>42565</v>
      </c>
      <c r="H25" s="2">
        <f t="shared" ca="1" si="0"/>
        <v>46208</v>
      </c>
      <c r="I25" s="6">
        <f t="shared" ca="1" si="5"/>
        <v>9</v>
      </c>
      <c r="J25" s="3">
        <v>100851</v>
      </c>
      <c r="K25" s="8">
        <f>VLOOKUP(O25,Lookup_Performance!$C$1:$D$6,2,FALSE)</f>
        <v>0.02</v>
      </c>
      <c r="L25" s="3">
        <f t="shared" si="1"/>
        <v>2017.02</v>
      </c>
      <c r="M25" s="4">
        <v>64</v>
      </c>
      <c r="N25" s="5" t="s">
        <v>216</v>
      </c>
      <c r="O25" s="6" t="str">
        <f t="shared" si="2"/>
        <v>Developing</v>
      </c>
      <c r="P25" t="str">
        <f t="shared" si="3"/>
        <v>Active</v>
      </c>
    </row>
    <row r="26" spans="1:16" x14ac:dyDescent="0.35">
      <c r="A26" t="s">
        <v>62</v>
      </c>
      <c r="B26" s="5" t="s">
        <v>54</v>
      </c>
      <c r="C26" s="5" t="s">
        <v>43</v>
      </c>
      <c r="D26" s="5" t="str">
        <f t="shared" si="4"/>
        <v>Ashley Williams</v>
      </c>
      <c r="E26" t="s">
        <v>36</v>
      </c>
      <c r="F26" t="str">
        <f>VLOOKUP(E26,Lookup_Departments!$A$2:$B$7,2,FALSE)</f>
        <v>Sales</v>
      </c>
      <c r="G26" s="2">
        <v>44728</v>
      </c>
      <c r="H26" s="2">
        <f t="shared" ca="1" si="0"/>
        <v>46208</v>
      </c>
      <c r="I26" s="6">
        <f t="shared" ca="1" si="5"/>
        <v>4</v>
      </c>
      <c r="J26" s="3">
        <v>68655</v>
      </c>
      <c r="K26" s="8">
        <f>VLOOKUP(O26,Lookup_Performance!$C$1:$D$6,2,FALSE)</f>
        <v>0</v>
      </c>
      <c r="L26" s="3">
        <f t="shared" si="1"/>
        <v>0</v>
      </c>
      <c r="M26" s="4">
        <v>32</v>
      </c>
      <c r="N26" s="5" t="s">
        <v>10</v>
      </c>
      <c r="O26" s="6" t="str">
        <f t="shared" si="2"/>
        <v>Needs Improvement</v>
      </c>
      <c r="P26" t="str">
        <f t="shared" si="3"/>
        <v>Active</v>
      </c>
    </row>
    <row r="27" spans="1:16" x14ac:dyDescent="0.35">
      <c r="A27" t="s">
        <v>63</v>
      </c>
      <c r="B27" s="5" t="s">
        <v>214</v>
      </c>
      <c r="C27" s="5" t="s">
        <v>43</v>
      </c>
      <c r="D27" s="5" t="str">
        <f t="shared" si="4"/>
        <v>Unknown Williams</v>
      </c>
      <c r="E27" t="s">
        <v>36</v>
      </c>
      <c r="F27" t="str">
        <f>VLOOKUP(E27,Lookup_Departments!$A$2:$B$7,2,FALSE)</f>
        <v>Sales</v>
      </c>
      <c r="G27" s="2">
        <v>45134</v>
      </c>
      <c r="H27" s="2">
        <f t="shared" ca="1" si="0"/>
        <v>46208</v>
      </c>
      <c r="I27" s="6">
        <f t="shared" ca="1" si="5"/>
        <v>2</v>
      </c>
      <c r="J27" s="3">
        <v>81205</v>
      </c>
      <c r="K27" s="8">
        <f>VLOOKUP(O27,Lookup_Performance!$C$1:$D$6,2,FALSE)</f>
        <v>0.02</v>
      </c>
      <c r="L27" s="3">
        <f t="shared" si="1"/>
        <v>1624.1000000000001</v>
      </c>
      <c r="M27" s="4">
        <v>59</v>
      </c>
      <c r="N27" s="5" t="s">
        <v>37</v>
      </c>
      <c r="O27" s="6" t="str">
        <f t="shared" si="2"/>
        <v>Developing</v>
      </c>
      <c r="P27" t="str">
        <f t="shared" si="3"/>
        <v>Active</v>
      </c>
    </row>
    <row r="28" spans="1:16" x14ac:dyDescent="0.35">
      <c r="A28" t="s">
        <v>64</v>
      </c>
      <c r="B28" s="5" t="s">
        <v>18</v>
      </c>
      <c r="C28" s="5" t="s">
        <v>29</v>
      </c>
      <c r="D28" s="5" t="str">
        <f t="shared" si="4"/>
        <v>John Wilson</v>
      </c>
      <c r="E28" t="s">
        <v>36</v>
      </c>
      <c r="F28" t="str">
        <f>VLOOKUP(E28,Lookup_Departments!$A$2:$B$7,2,FALSE)</f>
        <v>Sales</v>
      </c>
      <c r="G28" s="2">
        <v>43732</v>
      </c>
      <c r="H28" s="2">
        <f t="shared" ca="1" si="0"/>
        <v>46208</v>
      </c>
      <c r="I28" s="6">
        <f t="shared" ca="1" si="5"/>
        <v>6</v>
      </c>
      <c r="J28" s="3">
        <v>77610</v>
      </c>
      <c r="K28" s="8">
        <f>VLOOKUP(O28,Lookup_Performance!$C$1:$D$6,2,FALSE)</f>
        <v>0.08</v>
      </c>
      <c r="L28" s="3">
        <f t="shared" si="1"/>
        <v>6208.8</v>
      </c>
      <c r="M28" s="4">
        <v>88</v>
      </c>
      <c r="N28" s="5" t="s">
        <v>37</v>
      </c>
      <c r="O28" s="6" t="str">
        <f t="shared" si="2"/>
        <v>Exceeding</v>
      </c>
      <c r="P28" t="str">
        <f t="shared" si="3"/>
        <v>Active</v>
      </c>
    </row>
    <row r="29" spans="1:16" x14ac:dyDescent="0.35">
      <c r="A29" t="s">
        <v>65</v>
      </c>
      <c r="B29" s="5" t="s">
        <v>22</v>
      </c>
      <c r="C29" s="5" t="s">
        <v>33</v>
      </c>
      <c r="D29" s="5" t="str">
        <f t="shared" si="4"/>
        <v>Thomas Rodriguez</v>
      </c>
      <c r="E29" t="s">
        <v>9</v>
      </c>
      <c r="F29" t="str">
        <f>VLOOKUP(E29,Lookup_Departments!$A$2:$B$7,2,FALSE)</f>
        <v>Information Technology</v>
      </c>
      <c r="G29" s="2">
        <v>44765</v>
      </c>
      <c r="H29" s="2">
        <f t="shared" ca="1" si="0"/>
        <v>46208</v>
      </c>
      <c r="I29" s="6">
        <f t="shared" ca="1" si="5"/>
        <v>3</v>
      </c>
      <c r="J29" s="3">
        <v>50873</v>
      </c>
      <c r="K29" s="8">
        <f>VLOOKUP(O29,Lookup_Performance!$C$1:$D$6,2,FALSE)</f>
        <v>0.08</v>
      </c>
      <c r="L29" s="3">
        <f t="shared" si="1"/>
        <v>4069.84</v>
      </c>
      <c r="M29" s="4">
        <v>90</v>
      </c>
      <c r="N29" s="5" t="s">
        <v>37</v>
      </c>
      <c r="O29" s="6" t="str">
        <f t="shared" si="2"/>
        <v>Exceeding</v>
      </c>
      <c r="P29" t="str">
        <f t="shared" si="3"/>
        <v>Active</v>
      </c>
    </row>
    <row r="30" spans="1:16" x14ac:dyDescent="0.35">
      <c r="A30" t="s">
        <v>66</v>
      </c>
      <c r="B30" s="5" t="s">
        <v>35</v>
      </c>
      <c r="C30" s="5" t="s">
        <v>29</v>
      </c>
      <c r="D30" s="5" t="str">
        <f t="shared" si="4"/>
        <v>Michael Wilson</v>
      </c>
      <c r="E30" t="s">
        <v>20</v>
      </c>
      <c r="F30" t="str">
        <f>VLOOKUP(E30,Lookup_Departments!$A$2:$B$7,2,FALSE)</f>
        <v>Finance</v>
      </c>
      <c r="G30" s="2">
        <v>43233</v>
      </c>
      <c r="H30" s="2">
        <f t="shared" ca="1" si="0"/>
        <v>46208</v>
      </c>
      <c r="I30" s="6">
        <f t="shared" ca="1" si="5"/>
        <v>8</v>
      </c>
      <c r="J30" s="3">
        <v>85312</v>
      </c>
      <c r="K30" s="8">
        <f>VLOOKUP(O30,Lookup_Performance!$C$1:$D$6,2,FALSE)</f>
        <v>0.02</v>
      </c>
      <c r="L30" s="3">
        <f t="shared" si="1"/>
        <v>1706.24</v>
      </c>
      <c r="M30" s="4">
        <v>66</v>
      </c>
      <c r="N30" s="5" t="s">
        <v>10</v>
      </c>
      <c r="O30" s="6" t="str">
        <f t="shared" si="2"/>
        <v>Developing</v>
      </c>
      <c r="P30" t="str">
        <f t="shared" si="3"/>
        <v>Active</v>
      </c>
    </row>
    <row r="31" spans="1:16" x14ac:dyDescent="0.35">
      <c r="A31" t="s">
        <v>67</v>
      </c>
      <c r="B31" s="5" t="s">
        <v>18</v>
      </c>
      <c r="C31" s="5" t="s">
        <v>33</v>
      </c>
      <c r="D31" s="5" t="str">
        <f t="shared" si="4"/>
        <v>John Rodriguez</v>
      </c>
      <c r="E31" t="s">
        <v>36</v>
      </c>
      <c r="F31" t="str">
        <f>VLOOKUP(E31,Lookup_Departments!$A$2:$B$7,2,FALSE)</f>
        <v>Sales</v>
      </c>
      <c r="G31" s="2">
        <v>42202</v>
      </c>
      <c r="H31" s="2">
        <f t="shared" ca="1" si="0"/>
        <v>46208</v>
      </c>
      <c r="I31" s="6">
        <f t="shared" ca="1" si="5"/>
        <v>10</v>
      </c>
      <c r="J31" s="3">
        <v>83604</v>
      </c>
      <c r="K31" s="8">
        <f>VLOOKUP(O31,Lookup_Performance!$C$1:$D$6,2,FALSE)</f>
        <v>0.02</v>
      </c>
      <c r="L31" s="3">
        <f t="shared" si="1"/>
        <v>1672.08</v>
      </c>
      <c r="M31" s="4">
        <v>68</v>
      </c>
      <c r="N31" s="5" t="s">
        <v>10</v>
      </c>
      <c r="O31" s="6" t="str">
        <f t="shared" si="2"/>
        <v>Developing</v>
      </c>
      <c r="P31" t="str">
        <f t="shared" si="3"/>
        <v>Active</v>
      </c>
    </row>
    <row r="32" spans="1:16" x14ac:dyDescent="0.35">
      <c r="A32" t="s">
        <v>68</v>
      </c>
      <c r="B32" s="5" t="s">
        <v>22</v>
      </c>
      <c r="C32" s="5" t="s">
        <v>13</v>
      </c>
      <c r="D32" s="5" t="str">
        <f t="shared" si="4"/>
        <v>Thomas Hernandez</v>
      </c>
      <c r="E32" t="s">
        <v>27</v>
      </c>
      <c r="F32" t="str">
        <f>VLOOKUP(E32,Lookup_Departments!$A$2:$B$7,2,FALSE)</f>
        <v>Operations</v>
      </c>
      <c r="G32" s="2">
        <v>42221</v>
      </c>
      <c r="H32" s="2">
        <f t="shared" ca="1" si="0"/>
        <v>46208</v>
      </c>
      <c r="I32" s="6">
        <f t="shared" ca="1" si="5"/>
        <v>10</v>
      </c>
      <c r="J32" s="3">
        <v>97055</v>
      </c>
      <c r="K32" s="8">
        <f>VLOOKUP(O32,Lookup_Performance!$C$1:$D$6,2,FALSE)</f>
        <v>0.05</v>
      </c>
      <c r="L32" s="3">
        <f t="shared" si="1"/>
        <v>4852.75</v>
      </c>
      <c r="M32" s="4">
        <v>80</v>
      </c>
      <c r="N32" s="5" t="s">
        <v>37</v>
      </c>
      <c r="O32" s="6" t="str">
        <f t="shared" si="2"/>
        <v>Achieving</v>
      </c>
      <c r="P32" t="str">
        <f t="shared" si="3"/>
        <v>Active</v>
      </c>
    </row>
    <row r="33" spans="1:16" x14ac:dyDescent="0.35">
      <c r="A33" t="s">
        <v>69</v>
      </c>
      <c r="B33" s="5" t="s">
        <v>35</v>
      </c>
      <c r="C33" s="5" t="s">
        <v>26</v>
      </c>
      <c r="D33" s="5" t="str">
        <f t="shared" si="4"/>
        <v>Michael Johnson</v>
      </c>
      <c r="E33" t="s">
        <v>9</v>
      </c>
      <c r="F33" t="str">
        <f>VLOOKUP(E33,Lookup_Departments!$A$2:$B$7,2,FALSE)</f>
        <v>Information Technology</v>
      </c>
      <c r="G33" s="2">
        <v>45195</v>
      </c>
      <c r="H33" s="2">
        <f t="shared" ca="1" si="0"/>
        <v>46208</v>
      </c>
      <c r="I33" s="6">
        <f t="shared" ca="1" si="5"/>
        <v>2</v>
      </c>
      <c r="J33" s="3">
        <v>66069</v>
      </c>
      <c r="K33" s="8">
        <f>VLOOKUP(O33,Lookup_Performance!$C$1:$D$6,2,FALSE)</f>
        <v>0.05</v>
      </c>
      <c r="L33" s="3">
        <f t="shared" si="1"/>
        <v>3303.4500000000003</v>
      </c>
      <c r="M33" s="4">
        <v>72</v>
      </c>
      <c r="N33" s="5" t="s">
        <v>37</v>
      </c>
      <c r="O33" s="6" t="str">
        <f t="shared" si="2"/>
        <v>Achieving</v>
      </c>
      <c r="P33" t="str">
        <f t="shared" si="3"/>
        <v>Active</v>
      </c>
    </row>
    <row r="34" spans="1:16" x14ac:dyDescent="0.35">
      <c r="A34" t="s">
        <v>70</v>
      </c>
      <c r="B34" s="5" t="s">
        <v>71</v>
      </c>
      <c r="C34" s="5" t="s">
        <v>8</v>
      </c>
      <c r="D34" s="5" t="str">
        <f t="shared" si="4"/>
        <v>Sarah Brown</v>
      </c>
      <c r="E34" t="s">
        <v>9</v>
      </c>
      <c r="F34" t="str">
        <f>VLOOKUP(E34,Lookup_Departments!$A$2:$B$7,2,FALSE)</f>
        <v>Information Technology</v>
      </c>
      <c r="G34" s="2">
        <v>43626</v>
      </c>
      <c r="H34" s="2">
        <f t="shared" ca="1" si="0"/>
        <v>46208</v>
      </c>
      <c r="I34" s="6">
        <f t="shared" ca="1" si="5"/>
        <v>7</v>
      </c>
      <c r="J34" s="3">
        <v>90157</v>
      </c>
      <c r="K34" s="8">
        <f>VLOOKUP(O34,Lookup_Performance!$C$1:$D$6,2,FALSE)</f>
        <v>0.02</v>
      </c>
      <c r="L34" s="3">
        <f t="shared" si="1"/>
        <v>1803.14</v>
      </c>
      <c r="M34" s="4">
        <v>58</v>
      </c>
      <c r="N34" s="5" t="s">
        <v>10</v>
      </c>
      <c r="O34" s="6" t="str">
        <f t="shared" si="2"/>
        <v>Developing</v>
      </c>
      <c r="P34" t="str">
        <f t="shared" si="3"/>
        <v>Active</v>
      </c>
    </row>
    <row r="35" spans="1:16" x14ac:dyDescent="0.35">
      <c r="A35" t="s">
        <v>72</v>
      </c>
      <c r="B35" s="5" t="s">
        <v>42</v>
      </c>
      <c r="C35" s="5" t="s">
        <v>19</v>
      </c>
      <c r="D35" s="5" t="str">
        <f t="shared" si="4"/>
        <v>Jane Martinez</v>
      </c>
      <c r="E35" t="s">
        <v>73</v>
      </c>
      <c r="F35" t="str">
        <f>VLOOKUP(E35,Lookup_Departments!$A$2:$B$7,2,FALSE)</f>
        <v>Human Resources</v>
      </c>
      <c r="G35" s="2">
        <v>44578</v>
      </c>
      <c r="H35" s="2">
        <f t="shared" ca="1" si="0"/>
        <v>46208</v>
      </c>
      <c r="I35" s="6">
        <f t="shared" ca="1" si="5"/>
        <v>4</v>
      </c>
      <c r="J35" s="3">
        <v>59899</v>
      </c>
      <c r="K35" s="8">
        <f>VLOOKUP(O35,Lookup_Performance!$C$1:$D$6,2,FALSE)</f>
        <v>0.05</v>
      </c>
      <c r="L35" s="3">
        <f t="shared" si="1"/>
        <v>2994.9500000000003</v>
      </c>
      <c r="M35" s="4">
        <v>78</v>
      </c>
      <c r="N35" s="5" t="s">
        <v>37</v>
      </c>
      <c r="O35" s="6" t="str">
        <f t="shared" si="2"/>
        <v>Achieving</v>
      </c>
      <c r="P35" t="str">
        <f t="shared" si="3"/>
        <v>Active</v>
      </c>
    </row>
    <row r="36" spans="1:16" x14ac:dyDescent="0.35">
      <c r="A36" t="s">
        <v>74</v>
      </c>
      <c r="B36" s="5" t="s">
        <v>7</v>
      </c>
      <c r="C36" s="5" t="s">
        <v>47</v>
      </c>
      <c r="D36" s="5" t="str">
        <f t="shared" si="4"/>
        <v>Emily Jones</v>
      </c>
      <c r="E36" t="s">
        <v>20</v>
      </c>
      <c r="F36" t="str">
        <f>VLOOKUP(E36,Lookup_Departments!$A$2:$B$7,2,FALSE)</f>
        <v>Finance</v>
      </c>
      <c r="G36" s="2">
        <v>42919</v>
      </c>
      <c r="H36" s="2">
        <f t="shared" ca="1" si="0"/>
        <v>46208</v>
      </c>
      <c r="I36" s="6">
        <f t="shared" ca="1" si="5"/>
        <v>9</v>
      </c>
      <c r="J36" s="3">
        <v>113389</v>
      </c>
      <c r="K36" s="8">
        <f>VLOOKUP(O36,Lookup_Performance!$C$1:$D$6,2,FALSE)</f>
        <v>0</v>
      </c>
      <c r="L36" s="3">
        <f t="shared" si="1"/>
        <v>0</v>
      </c>
      <c r="M36" s="4">
        <v>30</v>
      </c>
      <c r="N36" s="5" t="s">
        <v>216</v>
      </c>
      <c r="O36" s="6" t="str">
        <f t="shared" si="2"/>
        <v>Needs Improvement</v>
      </c>
      <c r="P36" t="str">
        <f t="shared" si="3"/>
        <v>Active</v>
      </c>
    </row>
    <row r="37" spans="1:16" x14ac:dyDescent="0.35">
      <c r="A37" t="s">
        <v>75</v>
      </c>
      <c r="B37" s="5" t="s">
        <v>214</v>
      </c>
      <c r="C37" s="5" t="s">
        <v>8</v>
      </c>
      <c r="D37" s="5" t="str">
        <f t="shared" si="4"/>
        <v>Unknown Brown</v>
      </c>
      <c r="E37" t="s">
        <v>9</v>
      </c>
      <c r="F37" t="str">
        <f>VLOOKUP(E37,Lookup_Departments!$A$2:$B$7,2,FALSE)</f>
        <v>Information Technology</v>
      </c>
      <c r="G37" s="2">
        <v>42248</v>
      </c>
      <c r="H37" s="2">
        <f t="shared" ca="1" si="0"/>
        <v>46208</v>
      </c>
      <c r="I37" s="6">
        <f t="shared" ca="1" si="5"/>
        <v>10</v>
      </c>
      <c r="J37" s="3">
        <v>102691</v>
      </c>
      <c r="K37" s="8">
        <f>VLOOKUP(O37,Lookup_Performance!$C$1:$D$6,2,FALSE)</f>
        <v>0.02</v>
      </c>
      <c r="L37" s="3">
        <f t="shared" si="1"/>
        <v>2053.8200000000002</v>
      </c>
      <c r="M37" s="4">
        <v>52</v>
      </c>
      <c r="N37" s="5" t="s">
        <v>37</v>
      </c>
      <c r="O37" s="6" t="str">
        <f t="shared" si="2"/>
        <v>Developing</v>
      </c>
      <c r="P37" t="str">
        <f t="shared" si="3"/>
        <v>Active</v>
      </c>
    </row>
    <row r="38" spans="1:16" x14ac:dyDescent="0.35">
      <c r="A38" t="s">
        <v>76</v>
      </c>
      <c r="B38" s="5" t="s">
        <v>18</v>
      </c>
      <c r="C38" s="5" t="s">
        <v>29</v>
      </c>
      <c r="D38" s="5" t="str">
        <f t="shared" si="4"/>
        <v>John Wilson</v>
      </c>
      <c r="E38" t="s">
        <v>27</v>
      </c>
      <c r="F38" t="str">
        <f>VLOOKUP(E38,Lookup_Departments!$A$2:$B$7,2,FALSE)</f>
        <v>Operations</v>
      </c>
      <c r="G38" s="2">
        <v>44776</v>
      </c>
      <c r="H38" s="2">
        <f t="shared" ca="1" si="0"/>
        <v>46208</v>
      </c>
      <c r="I38" s="6">
        <f t="shared" ca="1" si="5"/>
        <v>3</v>
      </c>
      <c r="J38" s="3">
        <v>111845</v>
      </c>
      <c r="K38" s="8">
        <f>VLOOKUP(O38,Lookup_Performance!$C$1:$D$6,2,FALSE)</f>
        <v>0.12</v>
      </c>
      <c r="L38" s="3">
        <f t="shared" si="1"/>
        <v>13421.4</v>
      </c>
      <c r="M38" s="4">
        <v>98</v>
      </c>
      <c r="N38" s="5" t="s">
        <v>10</v>
      </c>
      <c r="O38" s="6" t="str">
        <f t="shared" si="2"/>
        <v>Outstanding</v>
      </c>
      <c r="P38" t="str">
        <f t="shared" si="3"/>
        <v>Active</v>
      </c>
    </row>
    <row r="39" spans="1:16" x14ac:dyDescent="0.35">
      <c r="A39" t="s">
        <v>77</v>
      </c>
      <c r="B39" s="5" t="s">
        <v>78</v>
      </c>
      <c r="C39" s="5" t="s">
        <v>8</v>
      </c>
      <c r="D39" s="5" t="str">
        <f t="shared" si="4"/>
        <v>Melissa Brown</v>
      </c>
      <c r="E39" t="s">
        <v>36</v>
      </c>
      <c r="F39" t="str">
        <f>VLOOKUP(E39,Lookup_Departments!$A$2:$B$7,2,FALSE)</f>
        <v>Sales</v>
      </c>
      <c r="G39" s="2">
        <v>44741</v>
      </c>
      <c r="H39" s="2">
        <f t="shared" ca="1" si="0"/>
        <v>46208</v>
      </c>
      <c r="I39" s="6">
        <f t="shared" ca="1" si="5"/>
        <v>4</v>
      </c>
      <c r="J39" s="3">
        <v>69219</v>
      </c>
      <c r="K39" s="8">
        <f>VLOOKUP(O39,Lookup_Performance!$C$1:$D$6,2,FALSE)</f>
        <v>0.08</v>
      </c>
      <c r="L39" s="3">
        <f t="shared" si="1"/>
        <v>5537.52</v>
      </c>
      <c r="M39" s="4">
        <v>93</v>
      </c>
      <c r="N39" s="5" t="s">
        <v>37</v>
      </c>
      <c r="O39" s="6" t="str">
        <f t="shared" si="2"/>
        <v>Exceeding</v>
      </c>
      <c r="P39" t="str">
        <f t="shared" si="3"/>
        <v>Active</v>
      </c>
    </row>
    <row r="40" spans="1:16" x14ac:dyDescent="0.35">
      <c r="A40" t="s">
        <v>79</v>
      </c>
      <c r="B40" s="5" t="s">
        <v>35</v>
      </c>
      <c r="C40" s="5" t="s">
        <v>23</v>
      </c>
      <c r="D40" s="5" t="str">
        <f t="shared" si="4"/>
        <v>Michael Smith</v>
      </c>
      <c r="E40" t="s">
        <v>20</v>
      </c>
      <c r="F40" t="str">
        <f>VLOOKUP(E40,Lookup_Departments!$A$2:$B$7,2,FALSE)</f>
        <v>Finance</v>
      </c>
      <c r="G40" s="2">
        <v>43949</v>
      </c>
      <c r="H40" s="2">
        <f t="shared" ca="1" si="0"/>
        <v>46208</v>
      </c>
      <c r="I40" s="6">
        <f t="shared" ca="1" si="5"/>
        <v>6</v>
      </c>
      <c r="J40" s="3">
        <v>83604</v>
      </c>
      <c r="K40" s="8">
        <f>VLOOKUP(O40,Lookup_Performance!$C$1:$D$6,2,FALSE)</f>
        <v>0.05</v>
      </c>
      <c r="L40" s="3">
        <f t="shared" si="1"/>
        <v>4180.2</v>
      </c>
      <c r="M40" s="4">
        <v>80</v>
      </c>
      <c r="N40" s="5" t="s">
        <v>80</v>
      </c>
      <c r="O40" s="6" t="str">
        <f t="shared" si="2"/>
        <v>Achieving</v>
      </c>
      <c r="P40" t="str">
        <f t="shared" si="3"/>
        <v>Left</v>
      </c>
    </row>
    <row r="41" spans="1:16" x14ac:dyDescent="0.35">
      <c r="A41" t="s">
        <v>81</v>
      </c>
      <c r="B41" s="5" t="s">
        <v>71</v>
      </c>
      <c r="C41" s="5" t="s">
        <v>39</v>
      </c>
      <c r="D41" s="5" t="str">
        <f t="shared" si="4"/>
        <v>Sarah Miller</v>
      </c>
      <c r="E41" t="s">
        <v>27</v>
      </c>
      <c r="F41" t="str">
        <f>VLOOKUP(E41,Lookup_Departments!$A$2:$B$7,2,FALSE)</f>
        <v>Operations</v>
      </c>
      <c r="G41" s="2">
        <v>42987</v>
      </c>
      <c r="H41" s="2">
        <f t="shared" ca="1" si="0"/>
        <v>46208</v>
      </c>
      <c r="I41" s="6">
        <f t="shared" ca="1" si="5"/>
        <v>8</v>
      </c>
      <c r="J41" s="3">
        <v>57514</v>
      </c>
      <c r="K41" s="8">
        <f>VLOOKUP(O41,Lookup_Performance!$C$1:$D$6,2,FALSE)</f>
        <v>0.02</v>
      </c>
      <c r="L41" s="3">
        <f t="shared" si="1"/>
        <v>1150.28</v>
      </c>
      <c r="M41" s="4">
        <v>68</v>
      </c>
      <c r="N41" s="5" t="s">
        <v>10</v>
      </c>
      <c r="O41" s="6" t="str">
        <f t="shared" si="2"/>
        <v>Developing</v>
      </c>
      <c r="P41" t="str">
        <f t="shared" si="3"/>
        <v>Active</v>
      </c>
    </row>
    <row r="42" spans="1:16" x14ac:dyDescent="0.35">
      <c r="A42" t="s">
        <v>82</v>
      </c>
      <c r="B42" s="5" t="s">
        <v>7</v>
      </c>
      <c r="C42" s="5" t="s">
        <v>29</v>
      </c>
      <c r="D42" s="5" t="str">
        <f t="shared" si="4"/>
        <v>Emily Wilson</v>
      </c>
      <c r="E42" t="s">
        <v>36</v>
      </c>
      <c r="F42" t="str">
        <f>VLOOKUP(E42,Lookup_Departments!$A$2:$B$7,2,FALSE)</f>
        <v>Sales</v>
      </c>
      <c r="G42" s="2">
        <v>43181</v>
      </c>
      <c r="H42" s="2">
        <f t="shared" ca="1" si="0"/>
        <v>46208</v>
      </c>
      <c r="I42" s="6">
        <f t="shared" ca="1" si="5"/>
        <v>8</v>
      </c>
      <c r="J42" s="3">
        <v>86245</v>
      </c>
      <c r="K42" s="8">
        <f>VLOOKUP(O42,Lookup_Performance!$C$1:$D$6,2,FALSE)</f>
        <v>0.05</v>
      </c>
      <c r="L42" s="3">
        <f t="shared" si="1"/>
        <v>4312.25</v>
      </c>
      <c r="M42" s="4">
        <v>71</v>
      </c>
      <c r="N42" s="5" t="s">
        <v>217</v>
      </c>
      <c r="O42" s="6" t="str">
        <f t="shared" si="2"/>
        <v>Achieving</v>
      </c>
      <c r="P42" t="str">
        <f t="shared" si="3"/>
        <v>Left</v>
      </c>
    </row>
    <row r="43" spans="1:16" x14ac:dyDescent="0.35">
      <c r="A43" t="s">
        <v>83</v>
      </c>
      <c r="B43" s="5" t="s">
        <v>84</v>
      </c>
      <c r="C43" s="5" t="s">
        <v>13</v>
      </c>
      <c r="D43" s="5" t="str">
        <f t="shared" si="4"/>
        <v>David Hernandez</v>
      </c>
      <c r="E43" t="s">
        <v>36</v>
      </c>
      <c r="F43" t="str">
        <f>VLOOKUP(E43,Lookup_Departments!$A$2:$B$7,2,FALSE)</f>
        <v>Sales</v>
      </c>
      <c r="G43" s="2">
        <v>43958</v>
      </c>
      <c r="H43" s="2">
        <f t="shared" ca="1" si="0"/>
        <v>46208</v>
      </c>
      <c r="I43" s="6">
        <f t="shared" ca="1" si="5"/>
        <v>6</v>
      </c>
      <c r="J43" s="3">
        <v>52407</v>
      </c>
      <c r="K43" s="8">
        <f>VLOOKUP(O43,Lookup_Performance!$C$1:$D$6,2,FALSE)</f>
        <v>0.02</v>
      </c>
      <c r="L43" s="3">
        <f t="shared" si="1"/>
        <v>1048.1400000000001</v>
      </c>
      <c r="M43" s="4">
        <v>55</v>
      </c>
      <c r="N43" s="5" t="s">
        <v>10</v>
      </c>
      <c r="O43" s="6" t="str">
        <f t="shared" si="2"/>
        <v>Developing</v>
      </c>
      <c r="P43" t="str">
        <f t="shared" si="3"/>
        <v>Active</v>
      </c>
    </row>
    <row r="44" spans="1:16" x14ac:dyDescent="0.35">
      <c r="A44" t="s">
        <v>85</v>
      </c>
      <c r="B44" s="5" t="s">
        <v>52</v>
      </c>
      <c r="C44" s="5" t="s">
        <v>23</v>
      </c>
      <c r="D44" s="5" t="str">
        <f t="shared" si="4"/>
        <v>James Smith</v>
      </c>
      <c r="E44" t="s">
        <v>27</v>
      </c>
      <c r="F44" t="str">
        <f>VLOOKUP(E44,Lookup_Departments!$A$2:$B$7,2,FALSE)</f>
        <v>Operations</v>
      </c>
      <c r="G44" s="2">
        <v>43549</v>
      </c>
      <c r="H44" s="2">
        <f t="shared" ca="1" si="0"/>
        <v>46208</v>
      </c>
      <c r="I44" s="6">
        <f t="shared" ca="1" si="5"/>
        <v>7</v>
      </c>
      <c r="J44" s="3">
        <v>66606</v>
      </c>
      <c r="K44" s="8">
        <f>VLOOKUP(O44,Lookup_Performance!$C$1:$D$6,2,FALSE)</f>
        <v>0.08</v>
      </c>
      <c r="L44" s="3">
        <f t="shared" si="1"/>
        <v>5328.4800000000005</v>
      </c>
      <c r="M44" s="4">
        <v>93</v>
      </c>
      <c r="N44" s="5" t="s">
        <v>86</v>
      </c>
      <c r="O44" s="6" t="str">
        <f t="shared" si="2"/>
        <v>Exceeding</v>
      </c>
      <c r="P44" t="str">
        <f t="shared" si="3"/>
        <v>Resigned</v>
      </c>
    </row>
    <row r="45" spans="1:16" x14ac:dyDescent="0.35">
      <c r="A45" t="s">
        <v>87</v>
      </c>
      <c r="B45" s="5" t="s">
        <v>71</v>
      </c>
      <c r="C45" s="5" t="s">
        <v>43</v>
      </c>
      <c r="D45" s="5" t="str">
        <f t="shared" si="4"/>
        <v>Sarah Williams</v>
      </c>
      <c r="E45" t="s">
        <v>9</v>
      </c>
      <c r="F45" t="str">
        <f>VLOOKUP(E45,Lookup_Departments!$A$2:$B$7,2,FALSE)</f>
        <v>Information Technology</v>
      </c>
      <c r="G45" s="2">
        <v>43686</v>
      </c>
      <c r="H45" s="2">
        <f t="shared" ca="1" si="0"/>
        <v>46208</v>
      </c>
      <c r="I45" s="6">
        <f t="shared" ca="1" si="5"/>
        <v>6</v>
      </c>
      <c r="J45" s="3">
        <v>81896</v>
      </c>
      <c r="K45" s="8">
        <f>VLOOKUP(O45,Lookup_Performance!$C$1:$D$6,2,FALSE)</f>
        <v>0.05</v>
      </c>
      <c r="L45" s="3">
        <f t="shared" si="1"/>
        <v>4094.8</v>
      </c>
      <c r="M45" s="4">
        <v>79</v>
      </c>
      <c r="N45" s="5" t="s">
        <v>86</v>
      </c>
      <c r="O45" s="6" t="str">
        <f t="shared" si="2"/>
        <v>Achieving</v>
      </c>
      <c r="P45" t="str">
        <f t="shared" si="3"/>
        <v>Resigned</v>
      </c>
    </row>
    <row r="46" spans="1:16" x14ac:dyDescent="0.35">
      <c r="A46" t="s">
        <v>88</v>
      </c>
      <c r="B46" s="5" t="s">
        <v>57</v>
      </c>
      <c r="C46" s="5" t="s">
        <v>55</v>
      </c>
      <c r="D46" s="5" t="str">
        <f t="shared" si="4"/>
        <v>Amanda Lopez</v>
      </c>
      <c r="E46" t="s">
        <v>36</v>
      </c>
      <c r="F46" t="str">
        <f>VLOOKUP(E46,Lookup_Departments!$A$2:$B$7,2,FALSE)</f>
        <v>Sales</v>
      </c>
      <c r="G46" s="2">
        <v>42565</v>
      </c>
      <c r="H46" s="2">
        <f t="shared" ca="1" si="0"/>
        <v>46208</v>
      </c>
      <c r="I46" s="6">
        <f t="shared" ca="1" si="5"/>
        <v>9</v>
      </c>
      <c r="J46" s="3">
        <v>78402</v>
      </c>
      <c r="K46" s="8">
        <f>VLOOKUP(O46,Lookup_Performance!$C$1:$D$6,2,FALSE)</f>
        <v>0.02</v>
      </c>
      <c r="L46" s="3">
        <f t="shared" si="1"/>
        <v>1568.04</v>
      </c>
      <c r="M46" s="4">
        <v>54</v>
      </c>
      <c r="N46" s="5" t="s">
        <v>216</v>
      </c>
      <c r="O46" s="6" t="str">
        <f t="shared" si="2"/>
        <v>Developing</v>
      </c>
      <c r="P46" t="str">
        <f t="shared" si="3"/>
        <v>Active</v>
      </c>
    </row>
    <row r="47" spans="1:16" x14ac:dyDescent="0.35">
      <c r="A47" t="s">
        <v>89</v>
      </c>
      <c r="B47" s="5" t="s">
        <v>22</v>
      </c>
      <c r="C47" s="5" t="s">
        <v>55</v>
      </c>
      <c r="D47" s="5" t="str">
        <f t="shared" si="4"/>
        <v>Thomas Lopez</v>
      </c>
      <c r="E47" t="s">
        <v>27</v>
      </c>
      <c r="F47" t="str">
        <f>VLOOKUP(E47,Lookup_Departments!$A$2:$B$7,2,FALSE)</f>
        <v>Operations</v>
      </c>
      <c r="G47" s="2">
        <v>42647</v>
      </c>
      <c r="H47" s="2">
        <f t="shared" ca="1" si="0"/>
        <v>46208</v>
      </c>
      <c r="I47" s="6">
        <f t="shared" ca="1" si="5"/>
        <v>9</v>
      </c>
      <c r="J47" s="3">
        <v>105498</v>
      </c>
      <c r="K47" s="8">
        <f>VLOOKUP(O47,Lookup_Performance!$C$1:$D$6,2,FALSE)</f>
        <v>0.05</v>
      </c>
      <c r="L47" s="3">
        <f t="shared" si="1"/>
        <v>5274.9000000000005</v>
      </c>
      <c r="M47" s="4">
        <v>76</v>
      </c>
      <c r="N47" s="5" t="s">
        <v>10</v>
      </c>
      <c r="O47" s="6" t="str">
        <f t="shared" si="2"/>
        <v>Achieving</v>
      </c>
      <c r="P47" t="str">
        <f t="shared" si="3"/>
        <v>Active</v>
      </c>
    </row>
    <row r="48" spans="1:16" x14ac:dyDescent="0.35">
      <c r="A48" t="s">
        <v>90</v>
      </c>
      <c r="B48" s="5" t="s">
        <v>78</v>
      </c>
      <c r="C48" s="5" t="s">
        <v>26</v>
      </c>
      <c r="D48" s="5" t="str">
        <f t="shared" si="4"/>
        <v>Melissa Johnson</v>
      </c>
      <c r="E48" t="s">
        <v>14</v>
      </c>
      <c r="F48" t="str">
        <f>VLOOKUP(E48,Lookup_Departments!$A$2:$B$7,2,FALSE)</f>
        <v>Marketing</v>
      </c>
      <c r="G48" s="2">
        <v>43656</v>
      </c>
      <c r="H48" s="2">
        <f t="shared" ca="1" si="0"/>
        <v>46208</v>
      </c>
      <c r="I48" s="6">
        <f t="shared" ca="1" si="5"/>
        <v>6</v>
      </c>
      <c r="J48" s="3">
        <v>91749</v>
      </c>
      <c r="K48" s="8">
        <f>VLOOKUP(O48,Lookup_Performance!$C$1:$D$6,2,FALSE)</f>
        <v>0.05</v>
      </c>
      <c r="L48" s="3">
        <f t="shared" si="1"/>
        <v>4587.45</v>
      </c>
      <c r="M48" s="4">
        <v>72</v>
      </c>
      <c r="N48" s="5" t="s">
        <v>80</v>
      </c>
      <c r="O48" s="6" t="str">
        <f t="shared" si="2"/>
        <v>Achieving</v>
      </c>
      <c r="P48" t="str">
        <f t="shared" si="3"/>
        <v>Left</v>
      </c>
    </row>
    <row r="49" spans="1:16" x14ac:dyDescent="0.35">
      <c r="A49" t="s">
        <v>91</v>
      </c>
      <c r="B49" s="5" t="s">
        <v>57</v>
      </c>
      <c r="C49" s="5" t="s">
        <v>26</v>
      </c>
      <c r="D49" s="5" t="str">
        <f t="shared" si="4"/>
        <v>Amanda Johnson</v>
      </c>
      <c r="E49" t="s">
        <v>27</v>
      </c>
      <c r="F49" t="str">
        <f>VLOOKUP(E49,Lookup_Departments!$A$2:$B$7,2,FALSE)</f>
        <v>Operations</v>
      </c>
      <c r="G49" s="2">
        <v>44437</v>
      </c>
      <c r="H49" s="2">
        <f t="shared" ca="1" si="0"/>
        <v>46208</v>
      </c>
      <c r="I49" s="6">
        <f t="shared" ca="1" si="5"/>
        <v>4</v>
      </c>
      <c r="J49" s="3">
        <v>99935</v>
      </c>
      <c r="K49" s="8">
        <f>VLOOKUP(O49,Lookup_Performance!$C$1:$D$6,2,FALSE)</f>
        <v>0.05</v>
      </c>
      <c r="L49" s="3">
        <f t="shared" si="1"/>
        <v>4996.75</v>
      </c>
      <c r="M49" s="4">
        <v>84</v>
      </c>
      <c r="N49" s="5" t="s">
        <v>86</v>
      </c>
      <c r="O49" s="6" t="str">
        <f t="shared" si="2"/>
        <v>Achieving</v>
      </c>
      <c r="P49" t="str">
        <f t="shared" si="3"/>
        <v>Resigned</v>
      </c>
    </row>
    <row r="50" spans="1:16" x14ac:dyDescent="0.35">
      <c r="A50" t="s">
        <v>92</v>
      </c>
      <c r="B50" s="5" t="s">
        <v>18</v>
      </c>
      <c r="C50" s="5" t="s">
        <v>50</v>
      </c>
      <c r="D50" s="5" t="str">
        <f t="shared" si="4"/>
        <v>John Davis</v>
      </c>
      <c r="E50" t="s">
        <v>9</v>
      </c>
      <c r="F50" t="str">
        <f>VLOOKUP(E50,Lookup_Departments!$A$2:$B$7,2,FALSE)</f>
        <v>Information Technology</v>
      </c>
      <c r="G50" s="2">
        <v>42761</v>
      </c>
      <c r="H50" s="2">
        <f t="shared" ca="1" si="0"/>
        <v>46208</v>
      </c>
      <c r="I50" s="6">
        <f t="shared" ca="1" si="5"/>
        <v>9</v>
      </c>
      <c r="J50" s="3">
        <v>83531</v>
      </c>
      <c r="K50" s="8">
        <f>VLOOKUP(O50,Lookup_Performance!$C$1:$D$6,2,FALSE)</f>
        <v>0</v>
      </c>
      <c r="L50" s="3">
        <f t="shared" si="1"/>
        <v>0</v>
      </c>
      <c r="M50" s="4">
        <v>30</v>
      </c>
      <c r="N50" s="5" t="s">
        <v>80</v>
      </c>
      <c r="O50" s="6" t="str">
        <f t="shared" si="2"/>
        <v>Needs Improvement</v>
      </c>
      <c r="P50" t="str">
        <f t="shared" si="3"/>
        <v>Left</v>
      </c>
    </row>
    <row r="51" spans="1:16" x14ac:dyDescent="0.35">
      <c r="A51" t="s">
        <v>93</v>
      </c>
      <c r="B51" s="5" t="s">
        <v>52</v>
      </c>
      <c r="C51" s="5" t="s">
        <v>26</v>
      </c>
      <c r="D51" s="5" t="str">
        <f t="shared" si="4"/>
        <v>James Johnson</v>
      </c>
      <c r="E51" t="s">
        <v>14</v>
      </c>
      <c r="F51" t="str">
        <f>VLOOKUP(E51,Lookup_Departments!$A$2:$B$7,2,FALSE)</f>
        <v>Marketing</v>
      </c>
      <c r="G51" s="2">
        <v>43981</v>
      </c>
      <c r="H51" s="2">
        <f t="shared" ca="1" si="0"/>
        <v>46208</v>
      </c>
      <c r="I51" s="6">
        <f t="shared" ca="1" si="5"/>
        <v>6</v>
      </c>
      <c r="J51" s="3">
        <v>75023</v>
      </c>
      <c r="K51" s="8">
        <f>VLOOKUP(O51,Lookup_Performance!$C$1:$D$6,2,FALSE)</f>
        <v>0.02</v>
      </c>
      <c r="L51" s="3">
        <f t="shared" si="1"/>
        <v>1500.46</v>
      </c>
      <c r="M51" s="4">
        <v>68</v>
      </c>
      <c r="N51" s="5" t="s">
        <v>216</v>
      </c>
      <c r="O51" s="6" t="str">
        <f t="shared" si="2"/>
        <v>Developing</v>
      </c>
      <c r="P51" t="str">
        <f t="shared" si="3"/>
        <v>Active</v>
      </c>
    </row>
    <row r="52" spans="1:16" x14ac:dyDescent="0.35">
      <c r="A52" t="s">
        <v>94</v>
      </c>
      <c r="B52" s="5" t="s">
        <v>42</v>
      </c>
      <c r="C52" s="5" t="s">
        <v>50</v>
      </c>
      <c r="D52" s="5" t="str">
        <f t="shared" si="4"/>
        <v>Jane Davis</v>
      </c>
      <c r="E52" t="s">
        <v>73</v>
      </c>
      <c r="F52" t="str">
        <f>VLOOKUP(E52,Lookup_Departments!$A$2:$B$7,2,FALSE)</f>
        <v>Human Resources</v>
      </c>
      <c r="G52" s="2">
        <v>44612</v>
      </c>
      <c r="H52" s="2">
        <f t="shared" ca="1" si="0"/>
        <v>46208</v>
      </c>
      <c r="I52" s="6">
        <f t="shared" ca="1" si="5"/>
        <v>4</v>
      </c>
      <c r="J52" s="3">
        <v>93290</v>
      </c>
      <c r="K52" s="8">
        <f>VLOOKUP(O52,Lookup_Performance!$C$1:$D$6,2,FALSE)</f>
        <v>0.02</v>
      </c>
      <c r="L52" s="3">
        <f t="shared" si="1"/>
        <v>1865.8</v>
      </c>
      <c r="M52" s="4">
        <v>53</v>
      </c>
      <c r="N52" s="5" t="s">
        <v>216</v>
      </c>
      <c r="O52" s="6" t="str">
        <f t="shared" si="2"/>
        <v>Developing</v>
      </c>
      <c r="P52" t="str">
        <f t="shared" si="3"/>
        <v>Active</v>
      </c>
    </row>
    <row r="53" spans="1:16" x14ac:dyDescent="0.35">
      <c r="A53" t="s">
        <v>95</v>
      </c>
      <c r="B53" s="5" t="s">
        <v>12</v>
      </c>
      <c r="C53" s="5" t="s">
        <v>50</v>
      </c>
      <c r="D53" s="5" t="str">
        <f t="shared" si="4"/>
        <v>Richard Davis</v>
      </c>
      <c r="E53" t="s">
        <v>27</v>
      </c>
      <c r="F53" t="str">
        <f>VLOOKUP(E53,Lookup_Departments!$A$2:$B$7,2,FALSE)</f>
        <v>Operations</v>
      </c>
      <c r="G53" s="2">
        <v>42628</v>
      </c>
      <c r="H53" s="2">
        <f t="shared" ca="1" si="0"/>
        <v>46208</v>
      </c>
      <c r="I53" s="6">
        <f t="shared" ca="1" si="5"/>
        <v>9</v>
      </c>
      <c r="J53" s="3">
        <v>115527</v>
      </c>
      <c r="K53" s="8">
        <f>VLOOKUP(O53,Lookup_Performance!$C$1:$D$6,2,FALSE)</f>
        <v>0.02</v>
      </c>
      <c r="L53" s="3">
        <f t="shared" si="1"/>
        <v>2310.54</v>
      </c>
      <c r="M53" s="4">
        <v>63</v>
      </c>
      <c r="N53" s="5" t="s">
        <v>86</v>
      </c>
      <c r="O53" s="6" t="str">
        <f t="shared" si="2"/>
        <v>Developing</v>
      </c>
      <c r="P53" t="str">
        <f t="shared" si="3"/>
        <v>Resigned</v>
      </c>
    </row>
    <row r="54" spans="1:16" x14ac:dyDescent="0.35">
      <c r="A54" t="s">
        <v>96</v>
      </c>
      <c r="B54" s="5" t="s">
        <v>22</v>
      </c>
      <c r="C54" s="5" t="s">
        <v>33</v>
      </c>
      <c r="D54" s="5" t="str">
        <f t="shared" si="4"/>
        <v>Thomas Rodriguez</v>
      </c>
      <c r="E54" t="s">
        <v>20</v>
      </c>
      <c r="F54" t="str">
        <f>VLOOKUP(E54,Lookup_Departments!$A$2:$B$7,2,FALSE)</f>
        <v>Finance</v>
      </c>
      <c r="G54" s="2">
        <v>43745</v>
      </c>
      <c r="H54" s="2">
        <f t="shared" ca="1" si="0"/>
        <v>46208</v>
      </c>
      <c r="I54" s="6">
        <f t="shared" ca="1" si="5"/>
        <v>6</v>
      </c>
      <c r="J54" s="3">
        <v>55920</v>
      </c>
      <c r="K54" s="8">
        <f>VLOOKUP(O54,Lookup_Performance!$C$1:$D$6,2,FALSE)</f>
        <v>0.05</v>
      </c>
      <c r="L54" s="3">
        <f t="shared" si="1"/>
        <v>2796</v>
      </c>
      <c r="M54" s="4">
        <v>84</v>
      </c>
      <c r="N54" s="5" t="s">
        <v>37</v>
      </c>
      <c r="O54" s="6" t="str">
        <f t="shared" si="2"/>
        <v>Achieving</v>
      </c>
      <c r="P54" t="str">
        <f t="shared" si="3"/>
        <v>Active</v>
      </c>
    </row>
    <row r="55" spans="1:16" x14ac:dyDescent="0.35">
      <c r="A55" t="s">
        <v>97</v>
      </c>
      <c r="B55" s="5" t="s">
        <v>7</v>
      </c>
      <c r="C55" s="5" t="s">
        <v>26</v>
      </c>
      <c r="D55" s="5" t="str">
        <f t="shared" si="4"/>
        <v>Emily Johnson</v>
      </c>
      <c r="E55" t="s">
        <v>36</v>
      </c>
      <c r="F55" t="str">
        <f>VLOOKUP(E55,Lookup_Departments!$A$2:$B$7,2,FALSE)</f>
        <v>Sales</v>
      </c>
      <c r="G55" s="2">
        <v>43464</v>
      </c>
      <c r="H55" s="2">
        <f t="shared" ca="1" si="0"/>
        <v>46208</v>
      </c>
      <c r="I55" s="6">
        <f t="shared" ca="1" si="5"/>
        <v>7</v>
      </c>
      <c r="J55" s="3">
        <v>80189</v>
      </c>
      <c r="K55" s="8">
        <f>VLOOKUP(O55,Lookup_Performance!$C$1:$D$6,2,FALSE)</f>
        <v>0</v>
      </c>
      <c r="L55" s="3">
        <f t="shared" si="1"/>
        <v>0</v>
      </c>
      <c r="M55" s="4">
        <v>30</v>
      </c>
      <c r="N55" s="5" t="s">
        <v>37</v>
      </c>
      <c r="O55" s="6" t="str">
        <f t="shared" si="2"/>
        <v>Needs Improvement</v>
      </c>
      <c r="P55" t="str">
        <f t="shared" si="3"/>
        <v>Active</v>
      </c>
    </row>
    <row r="56" spans="1:16" x14ac:dyDescent="0.35">
      <c r="A56" t="s">
        <v>98</v>
      </c>
      <c r="B56" s="5" t="s">
        <v>7</v>
      </c>
      <c r="C56" s="5" t="s">
        <v>99</v>
      </c>
      <c r="D56" s="5" t="str">
        <f t="shared" si="4"/>
        <v>Emily Garcia</v>
      </c>
      <c r="E56" t="s">
        <v>73</v>
      </c>
      <c r="F56" t="str">
        <f>VLOOKUP(E56,Lookup_Departments!$A$2:$B$7,2,FALSE)</f>
        <v>Human Resources</v>
      </c>
      <c r="G56" s="2">
        <v>44189</v>
      </c>
      <c r="H56" s="2">
        <f t="shared" ca="1" si="0"/>
        <v>46208</v>
      </c>
      <c r="I56" s="6">
        <f t="shared" ca="1" si="5"/>
        <v>5</v>
      </c>
      <c r="J56" s="3">
        <v>118947</v>
      </c>
      <c r="K56" s="8">
        <f>VLOOKUP(O56,Lookup_Performance!$C$1:$D$6,2,FALSE)</f>
        <v>0.12</v>
      </c>
      <c r="L56" s="3">
        <f t="shared" si="1"/>
        <v>14273.64</v>
      </c>
      <c r="M56" s="4">
        <v>96</v>
      </c>
      <c r="N56" s="5" t="s">
        <v>10</v>
      </c>
      <c r="O56" s="6" t="str">
        <f t="shared" si="2"/>
        <v>Outstanding</v>
      </c>
      <c r="P56" t="str">
        <f t="shared" si="3"/>
        <v>Active</v>
      </c>
    </row>
    <row r="57" spans="1:16" x14ac:dyDescent="0.35">
      <c r="A57" t="s">
        <v>100</v>
      </c>
      <c r="B57" s="5" t="s">
        <v>42</v>
      </c>
      <c r="C57" s="5" t="s">
        <v>101</v>
      </c>
      <c r="D57" s="5" t="str">
        <f t="shared" si="4"/>
        <v>Jane Anderson</v>
      </c>
      <c r="E57" t="s">
        <v>9</v>
      </c>
      <c r="F57" t="str">
        <f>VLOOKUP(E57,Lookup_Departments!$A$2:$B$7,2,FALSE)</f>
        <v>Information Technology</v>
      </c>
      <c r="G57" s="2">
        <v>45112</v>
      </c>
      <c r="H57" s="2">
        <f t="shared" ca="1" si="0"/>
        <v>46208</v>
      </c>
      <c r="I57" s="6">
        <f t="shared" ca="1" si="5"/>
        <v>3</v>
      </c>
      <c r="J57" s="3">
        <v>83604</v>
      </c>
      <c r="K57" s="8">
        <f>VLOOKUP(O57,Lookup_Performance!$C$1:$D$6,2,FALSE)</f>
        <v>0.02</v>
      </c>
      <c r="L57" s="3">
        <f t="shared" si="1"/>
        <v>1672.08</v>
      </c>
      <c r="M57" s="4">
        <v>54</v>
      </c>
      <c r="N57" s="5" t="s">
        <v>37</v>
      </c>
      <c r="O57" s="6" t="str">
        <f t="shared" si="2"/>
        <v>Developing</v>
      </c>
      <c r="P57" t="str">
        <f t="shared" si="3"/>
        <v>Active</v>
      </c>
    </row>
    <row r="58" spans="1:16" x14ac:dyDescent="0.35">
      <c r="A58" t="s">
        <v>102</v>
      </c>
      <c r="B58" s="5" t="s">
        <v>22</v>
      </c>
      <c r="C58" s="5" t="s">
        <v>99</v>
      </c>
      <c r="D58" s="5" t="str">
        <f t="shared" si="4"/>
        <v>Thomas Garcia</v>
      </c>
      <c r="E58" t="s">
        <v>27</v>
      </c>
      <c r="F58" t="str">
        <f>VLOOKUP(E58,Lookup_Departments!$A$2:$B$7,2,FALSE)</f>
        <v>Operations</v>
      </c>
      <c r="G58" s="2">
        <v>44148</v>
      </c>
      <c r="H58" s="2">
        <f t="shared" ca="1" si="0"/>
        <v>46208</v>
      </c>
      <c r="I58" s="6">
        <f t="shared" ca="1" si="5"/>
        <v>5</v>
      </c>
      <c r="J58" s="3">
        <v>83604</v>
      </c>
      <c r="K58" s="8">
        <f>VLOOKUP(O58,Lookup_Performance!$C$1:$D$6,2,FALSE)</f>
        <v>0.05</v>
      </c>
      <c r="L58" s="3">
        <f t="shared" si="1"/>
        <v>4180.2</v>
      </c>
      <c r="M58" s="4">
        <v>75</v>
      </c>
      <c r="N58" s="5" t="s">
        <v>37</v>
      </c>
      <c r="O58" s="6" t="str">
        <f t="shared" si="2"/>
        <v>Achieving</v>
      </c>
      <c r="P58" t="str">
        <f t="shared" si="3"/>
        <v>Active</v>
      </c>
    </row>
    <row r="59" spans="1:16" x14ac:dyDescent="0.35">
      <c r="A59" t="s">
        <v>103</v>
      </c>
      <c r="B59" s="5" t="s">
        <v>84</v>
      </c>
      <c r="C59" s="5" t="s">
        <v>19</v>
      </c>
      <c r="D59" s="5" t="str">
        <f t="shared" si="4"/>
        <v>David Martinez</v>
      </c>
      <c r="E59" t="s">
        <v>73</v>
      </c>
      <c r="F59" t="str">
        <f>VLOOKUP(E59,Lookup_Departments!$A$2:$B$7,2,FALSE)</f>
        <v>Human Resources</v>
      </c>
      <c r="G59" s="2">
        <v>43138</v>
      </c>
      <c r="H59" s="2">
        <f t="shared" ca="1" si="0"/>
        <v>46208</v>
      </c>
      <c r="I59" s="6">
        <f t="shared" ca="1" si="5"/>
        <v>8</v>
      </c>
      <c r="J59" s="3">
        <v>91655</v>
      </c>
      <c r="K59" s="8">
        <f>VLOOKUP(O59,Lookup_Performance!$C$1:$D$6,2,FALSE)</f>
        <v>0.12</v>
      </c>
      <c r="L59" s="3">
        <f t="shared" si="1"/>
        <v>10998.6</v>
      </c>
      <c r="M59" s="4">
        <v>95</v>
      </c>
      <c r="N59" s="5" t="s">
        <v>37</v>
      </c>
      <c r="O59" s="6" t="str">
        <f t="shared" si="2"/>
        <v>Outstanding</v>
      </c>
      <c r="P59" t="str">
        <f t="shared" si="3"/>
        <v>Active</v>
      </c>
    </row>
    <row r="60" spans="1:16" x14ac:dyDescent="0.35">
      <c r="A60" t="s">
        <v>104</v>
      </c>
      <c r="B60" s="5" t="s">
        <v>7</v>
      </c>
      <c r="C60" s="5" t="s">
        <v>8</v>
      </c>
      <c r="D60" s="5" t="str">
        <f t="shared" si="4"/>
        <v>Emily Brown</v>
      </c>
      <c r="E60" t="s">
        <v>9</v>
      </c>
      <c r="F60" t="str">
        <f>VLOOKUP(E60,Lookup_Departments!$A$2:$B$7,2,FALSE)</f>
        <v>Information Technology</v>
      </c>
      <c r="G60" s="2">
        <v>45255</v>
      </c>
      <c r="H60" s="2">
        <f t="shared" ca="1" si="0"/>
        <v>46208</v>
      </c>
      <c r="I60" s="6">
        <f t="shared" ca="1" si="5"/>
        <v>2</v>
      </c>
      <c r="J60" s="3">
        <v>49435</v>
      </c>
      <c r="K60" s="8">
        <f>VLOOKUP(O60,Lookup_Performance!$C$1:$D$6,2,FALSE)</f>
        <v>0.02</v>
      </c>
      <c r="L60" s="3">
        <f t="shared" si="1"/>
        <v>988.7</v>
      </c>
      <c r="M60" s="4">
        <v>68</v>
      </c>
      <c r="N60" s="5" t="s">
        <v>80</v>
      </c>
      <c r="O60" s="6" t="str">
        <f t="shared" si="2"/>
        <v>Developing</v>
      </c>
      <c r="P60" t="str">
        <f t="shared" si="3"/>
        <v>Left</v>
      </c>
    </row>
    <row r="61" spans="1:16" x14ac:dyDescent="0.35">
      <c r="A61" t="s">
        <v>105</v>
      </c>
      <c r="B61" s="5" t="s">
        <v>7</v>
      </c>
      <c r="C61" s="5" t="s">
        <v>29</v>
      </c>
      <c r="D61" s="5" t="str">
        <f t="shared" si="4"/>
        <v>Emily Wilson</v>
      </c>
      <c r="E61" t="s">
        <v>36</v>
      </c>
      <c r="F61" t="str">
        <f>VLOOKUP(E61,Lookup_Departments!$A$2:$B$7,2,FALSE)</f>
        <v>Sales</v>
      </c>
      <c r="G61" s="2">
        <v>45217</v>
      </c>
      <c r="H61" s="2">
        <f t="shared" ca="1" si="0"/>
        <v>46208</v>
      </c>
      <c r="I61" s="6">
        <f t="shared" ca="1" si="5"/>
        <v>2</v>
      </c>
      <c r="J61" s="3">
        <v>110381</v>
      </c>
      <c r="K61" s="8">
        <f>VLOOKUP(O61,Lookup_Performance!$C$1:$D$6,2,FALSE)</f>
        <v>0.08</v>
      </c>
      <c r="L61" s="3">
        <f t="shared" si="1"/>
        <v>8830.48</v>
      </c>
      <c r="M61" s="4">
        <v>93</v>
      </c>
      <c r="N61" s="5" t="s">
        <v>37</v>
      </c>
      <c r="O61" s="6" t="str">
        <f t="shared" si="2"/>
        <v>Exceeding</v>
      </c>
      <c r="P61" t="str">
        <f t="shared" si="3"/>
        <v>Active</v>
      </c>
    </row>
    <row r="62" spans="1:16" x14ac:dyDescent="0.35">
      <c r="A62" t="s">
        <v>106</v>
      </c>
      <c r="B62" s="5" t="s">
        <v>35</v>
      </c>
      <c r="C62" s="5" t="s">
        <v>101</v>
      </c>
      <c r="D62" s="5" t="str">
        <f t="shared" si="4"/>
        <v>Michael Anderson</v>
      </c>
      <c r="E62" t="s">
        <v>73</v>
      </c>
      <c r="F62" t="str">
        <f>VLOOKUP(E62,Lookup_Departments!$A$2:$B$7,2,FALSE)</f>
        <v>Human Resources</v>
      </c>
      <c r="G62" s="2">
        <v>44079</v>
      </c>
      <c r="H62" s="2">
        <f t="shared" ca="1" si="0"/>
        <v>46208</v>
      </c>
      <c r="I62" s="6">
        <f t="shared" ca="1" si="5"/>
        <v>5</v>
      </c>
      <c r="J62" s="3">
        <v>114748</v>
      </c>
      <c r="K62" s="8">
        <f>VLOOKUP(O62,Lookup_Performance!$C$1:$D$6,2,FALSE)</f>
        <v>0</v>
      </c>
      <c r="L62" s="3">
        <f t="shared" si="1"/>
        <v>0</v>
      </c>
      <c r="M62" s="4">
        <v>33</v>
      </c>
      <c r="N62" s="5" t="s">
        <v>10</v>
      </c>
      <c r="O62" s="6" t="str">
        <f t="shared" si="2"/>
        <v>Needs Improvement</v>
      </c>
      <c r="P62" t="str">
        <f t="shared" si="3"/>
        <v>Active</v>
      </c>
    </row>
    <row r="63" spans="1:16" x14ac:dyDescent="0.35">
      <c r="A63" t="s">
        <v>107</v>
      </c>
      <c r="B63" s="5" t="s">
        <v>46</v>
      </c>
      <c r="C63" s="5" t="s">
        <v>26</v>
      </c>
      <c r="D63" s="5" t="str">
        <f t="shared" si="4"/>
        <v>Robert Johnson</v>
      </c>
      <c r="E63" t="s">
        <v>27</v>
      </c>
      <c r="F63" t="str">
        <f>VLOOKUP(E63,Lookup_Departments!$A$2:$B$7,2,FALSE)</f>
        <v>Operations</v>
      </c>
      <c r="G63" s="2">
        <v>42800</v>
      </c>
      <c r="H63" s="2">
        <f t="shared" ca="1" si="0"/>
        <v>46208</v>
      </c>
      <c r="I63" s="6">
        <f t="shared" ca="1" si="5"/>
        <v>9</v>
      </c>
      <c r="J63" s="3">
        <v>63302</v>
      </c>
      <c r="K63" s="8">
        <f>VLOOKUP(O63,Lookup_Performance!$C$1:$D$6,2,FALSE)</f>
        <v>0.08</v>
      </c>
      <c r="L63" s="3">
        <f t="shared" si="1"/>
        <v>5064.16</v>
      </c>
      <c r="M63" s="4">
        <v>91</v>
      </c>
      <c r="N63" s="5" t="s">
        <v>10</v>
      </c>
      <c r="O63" s="6" t="str">
        <f t="shared" si="2"/>
        <v>Exceeding</v>
      </c>
      <c r="P63" t="str">
        <f t="shared" si="3"/>
        <v>Active</v>
      </c>
    </row>
    <row r="64" spans="1:16" x14ac:dyDescent="0.35">
      <c r="A64" t="s">
        <v>108</v>
      </c>
      <c r="B64" s="5" t="s">
        <v>46</v>
      </c>
      <c r="C64" s="5" t="s">
        <v>39</v>
      </c>
      <c r="D64" s="5" t="str">
        <f t="shared" si="4"/>
        <v>Robert Miller</v>
      </c>
      <c r="E64" t="s">
        <v>9</v>
      </c>
      <c r="F64" t="str">
        <f>VLOOKUP(E64,Lookup_Departments!$A$2:$B$7,2,FALSE)</f>
        <v>Information Technology</v>
      </c>
      <c r="G64" s="2">
        <v>42122</v>
      </c>
      <c r="H64" s="2">
        <f t="shared" ca="1" si="0"/>
        <v>46208</v>
      </c>
      <c r="I64" s="6">
        <f t="shared" ca="1" si="5"/>
        <v>11</v>
      </c>
      <c r="J64" s="3">
        <v>75519</v>
      </c>
      <c r="K64" s="8">
        <f>VLOOKUP(O64,Lookup_Performance!$C$1:$D$6,2,FALSE)</f>
        <v>0.02</v>
      </c>
      <c r="L64" s="3">
        <f t="shared" si="1"/>
        <v>1510.38</v>
      </c>
      <c r="M64" s="4">
        <v>64</v>
      </c>
      <c r="N64" s="5" t="s">
        <v>10</v>
      </c>
      <c r="O64" s="6" t="str">
        <f t="shared" si="2"/>
        <v>Developing</v>
      </c>
      <c r="P64" t="str">
        <f t="shared" si="3"/>
        <v>Active</v>
      </c>
    </row>
    <row r="65" spans="1:16" x14ac:dyDescent="0.35">
      <c r="A65" t="s">
        <v>109</v>
      </c>
      <c r="B65" s="5" t="s">
        <v>42</v>
      </c>
      <c r="C65" s="5" t="s">
        <v>50</v>
      </c>
      <c r="D65" s="5" t="str">
        <f t="shared" si="4"/>
        <v>Jane Davis</v>
      </c>
      <c r="E65" t="s">
        <v>20</v>
      </c>
      <c r="F65" t="str">
        <f>VLOOKUP(E65,Lookup_Departments!$A$2:$B$7,2,FALSE)</f>
        <v>Finance</v>
      </c>
      <c r="G65" s="2">
        <v>42838</v>
      </c>
      <c r="H65" s="2">
        <f t="shared" ca="1" si="0"/>
        <v>46208</v>
      </c>
      <c r="I65" s="6">
        <f t="shared" ca="1" si="5"/>
        <v>9</v>
      </c>
      <c r="J65" s="3">
        <v>103891</v>
      </c>
      <c r="K65" s="8">
        <f>VLOOKUP(O65,Lookup_Performance!$C$1:$D$6,2,FALSE)</f>
        <v>0.05</v>
      </c>
      <c r="L65" s="3">
        <f t="shared" si="1"/>
        <v>5194.55</v>
      </c>
      <c r="M65" s="4">
        <v>80</v>
      </c>
      <c r="N65" s="5" t="s">
        <v>10</v>
      </c>
      <c r="O65" s="6" t="str">
        <f t="shared" si="2"/>
        <v>Achieving</v>
      </c>
      <c r="P65" t="str">
        <f t="shared" si="3"/>
        <v>Active</v>
      </c>
    </row>
    <row r="66" spans="1:16" x14ac:dyDescent="0.35">
      <c r="A66" t="s">
        <v>110</v>
      </c>
      <c r="B66" s="5" t="s">
        <v>22</v>
      </c>
      <c r="C66" s="5" t="s">
        <v>50</v>
      </c>
      <c r="D66" s="5" t="str">
        <f t="shared" si="4"/>
        <v>Thomas Davis</v>
      </c>
      <c r="E66" t="s">
        <v>27</v>
      </c>
      <c r="F66" t="str">
        <f>VLOOKUP(E66,Lookup_Departments!$A$2:$B$7,2,FALSE)</f>
        <v>Operations</v>
      </c>
      <c r="G66" s="2">
        <v>44827</v>
      </c>
      <c r="H66" s="2">
        <f t="shared" ca="1" si="0"/>
        <v>46208</v>
      </c>
      <c r="I66" s="6">
        <f t="shared" ca="1" si="5"/>
        <v>3</v>
      </c>
      <c r="J66" s="3">
        <v>83604</v>
      </c>
      <c r="K66" s="8">
        <f>VLOOKUP(O66,Lookup_Performance!$C$1:$D$6,2,FALSE)</f>
        <v>0</v>
      </c>
      <c r="L66" s="3">
        <f t="shared" si="1"/>
        <v>0</v>
      </c>
      <c r="M66" s="4">
        <v>46</v>
      </c>
      <c r="N66" s="5" t="s">
        <v>217</v>
      </c>
      <c r="O66" s="6" t="str">
        <f t="shared" si="2"/>
        <v>Needs Improvement</v>
      </c>
      <c r="P66" t="str">
        <f t="shared" si="3"/>
        <v>Left</v>
      </c>
    </row>
    <row r="67" spans="1:16" x14ac:dyDescent="0.35">
      <c r="A67" t="s">
        <v>111</v>
      </c>
      <c r="B67" s="5" t="s">
        <v>22</v>
      </c>
      <c r="C67" s="5" t="s">
        <v>47</v>
      </c>
      <c r="D67" s="5" t="str">
        <f t="shared" si="4"/>
        <v>Thomas Jones</v>
      </c>
      <c r="E67" t="s">
        <v>14</v>
      </c>
      <c r="F67" t="str">
        <f>VLOOKUP(E67,Lookup_Departments!$A$2:$B$7,2,FALSE)</f>
        <v>Marketing</v>
      </c>
      <c r="G67" s="2">
        <v>42685</v>
      </c>
      <c r="H67" s="2">
        <f t="shared" ref="H67:H130" ca="1" si="6">TODAY()</f>
        <v>46208</v>
      </c>
      <c r="I67" s="6">
        <f t="shared" ca="1" si="5"/>
        <v>9</v>
      </c>
      <c r="J67" s="3">
        <v>50936</v>
      </c>
      <c r="K67" s="8">
        <f>VLOOKUP(O67,Lookup_Performance!$C$1:$D$6,2,FALSE)</f>
        <v>0.12</v>
      </c>
      <c r="L67" s="3">
        <f t="shared" ref="L67:L130" si="7">J67*K67</f>
        <v>6112.32</v>
      </c>
      <c r="M67" s="4">
        <v>99</v>
      </c>
      <c r="N67" s="5" t="s">
        <v>10</v>
      </c>
      <c r="O67" s="6" t="str">
        <f t="shared" ref="O67:O130" si="8">IF(M67&lt;50, "Needs Improvement", IF(M67&lt;70, "Developing", IF(M67&lt;85, "Achieving", IF(M67&lt;95, "Exceeding", "Outstanding"))))</f>
        <v>Outstanding</v>
      </c>
      <c r="P67" t="str">
        <f t="shared" ref="P67:P130" si="9">PROPER(N67)</f>
        <v>Active</v>
      </c>
    </row>
    <row r="68" spans="1:16" x14ac:dyDescent="0.35">
      <c r="A68" t="s">
        <v>112</v>
      </c>
      <c r="B68" s="5" t="s">
        <v>35</v>
      </c>
      <c r="C68" s="5" t="s">
        <v>39</v>
      </c>
      <c r="D68" s="5" t="str">
        <f t="shared" ref="D68:D131" si="10">B68&amp;" "&amp;C68</f>
        <v>Michael Miller</v>
      </c>
      <c r="E68" t="s">
        <v>36</v>
      </c>
      <c r="F68" t="str">
        <f>VLOOKUP(E68,Lookup_Departments!$A$2:$B$7,2,FALSE)</f>
        <v>Sales</v>
      </c>
      <c r="G68" s="2">
        <v>42818</v>
      </c>
      <c r="H68" s="2">
        <f t="shared" ca="1" si="6"/>
        <v>46208</v>
      </c>
      <c r="I68" s="6">
        <f t="shared" ref="I68:I131" ca="1" si="11">INT(YEARFRAC(G68,H68))</f>
        <v>9</v>
      </c>
      <c r="J68" s="3">
        <v>111240</v>
      </c>
      <c r="K68" s="8">
        <f>VLOOKUP(O68,Lookup_Performance!$C$1:$D$6,2,FALSE)</f>
        <v>0.02</v>
      </c>
      <c r="L68" s="3">
        <f t="shared" si="7"/>
        <v>2224.8000000000002</v>
      </c>
      <c r="M68" s="4">
        <v>68</v>
      </c>
      <c r="N68" s="5" t="s">
        <v>37</v>
      </c>
      <c r="O68" s="6" t="str">
        <f t="shared" si="8"/>
        <v>Developing</v>
      </c>
      <c r="P68" t="str">
        <f t="shared" si="9"/>
        <v>Active</v>
      </c>
    </row>
    <row r="69" spans="1:16" x14ac:dyDescent="0.35">
      <c r="A69" t="s">
        <v>113</v>
      </c>
      <c r="B69" s="5" t="s">
        <v>12</v>
      </c>
      <c r="C69" s="5" t="s">
        <v>16</v>
      </c>
      <c r="D69" s="5" t="str">
        <f t="shared" si="10"/>
        <v>Richard Gonzalez</v>
      </c>
      <c r="E69" t="s">
        <v>73</v>
      </c>
      <c r="F69" t="str">
        <f>VLOOKUP(E69,Lookup_Departments!$A$2:$B$7,2,FALSE)</f>
        <v>Human Resources</v>
      </c>
      <c r="G69" s="2">
        <v>43590</v>
      </c>
      <c r="H69" s="2">
        <f t="shared" ca="1" si="6"/>
        <v>46208</v>
      </c>
      <c r="I69" s="6">
        <f t="shared" ca="1" si="11"/>
        <v>7</v>
      </c>
      <c r="J69" s="3">
        <v>51567</v>
      </c>
      <c r="K69" s="8">
        <f>VLOOKUP(O69,Lookup_Performance!$C$1:$D$6,2,FALSE)</f>
        <v>0.08</v>
      </c>
      <c r="L69" s="3">
        <f t="shared" si="7"/>
        <v>4125.3599999999997</v>
      </c>
      <c r="M69" s="4">
        <v>87</v>
      </c>
      <c r="N69" s="5" t="s">
        <v>86</v>
      </c>
      <c r="O69" s="6" t="str">
        <f t="shared" si="8"/>
        <v>Exceeding</v>
      </c>
      <c r="P69" t="str">
        <f t="shared" si="9"/>
        <v>Resigned</v>
      </c>
    </row>
    <row r="70" spans="1:16" x14ac:dyDescent="0.35">
      <c r="A70" t="s">
        <v>114</v>
      </c>
      <c r="B70" s="5" t="s">
        <v>78</v>
      </c>
      <c r="C70" s="5" t="s">
        <v>43</v>
      </c>
      <c r="D70" s="5" t="str">
        <f t="shared" si="10"/>
        <v>Melissa Williams</v>
      </c>
      <c r="E70" t="s">
        <v>73</v>
      </c>
      <c r="F70" t="str">
        <f>VLOOKUP(E70,Lookup_Departments!$A$2:$B$7,2,FALSE)</f>
        <v>Human Resources</v>
      </c>
      <c r="G70" s="2">
        <v>44402</v>
      </c>
      <c r="H70" s="2">
        <f t="shared" ca="1" si="6"/>
        <v>46208</v>
      </c>
      <c r="I70" s="6">
        <f t="shared" ca="1" si="11"/>
        <v>4</v>
      </c>
      <c r="J70" s="3">
        <v>83604</v>
      </c>
      <c r="K70" s="8">
        <f>VLOOKUP(O70,Lookup_Performance!$C$1:$D$6,2,FALSE)</f>
        <v>0</v>
      </c>
      <c r="L70" s="3">
        <f t="shared" si="7"/>
        <v>0</v>
      </c>
      <c r="M70" s="4">
        <v>36</v>
      </c>
      <c r="N70" s="5" t="s">
        <v>37</v>
      </c>
      <c r="O70" s="6" t="str">
        <f t="shared" si="8"/>
        <v>Needs Improvement</v>
      </c>
      <c r="P70" t="str">
        <f t="shared" si="9"/>
        <v>Active</v>
      </c>
    </row>
    <row r="71" spans="1:16" x14ac:dyDescent="0.35">
      <c r="A71" t="s">
        <v>115</v>
      </c>
      <c r="B71" s="5" t="s">
        <v>46</v>
      </c>
      <c r="C71" s="5" t="s">
        <v>39</v>
      </c>
      <c r="D71" s="5" t="str">
        <f t="shared" si="10"/>
        <v>Robert Miller</v>
      </c>
      <c r="E71" t="s">
        <v>73</v>
      </c>
      <c r="F71" t="str">
        <f>VLOOKUP(E71,Lookup_Departments!$A$2:$B$7,2,FALSE)</f>
        <v>Human Resources</v>
      </c>
      <c r="G71" s="2">
        <v>43008</v>
      </c>
      <c r="H71" s="2">
        <f t="shared" ca="1" si="6"/>
        <v>46208</v>
      </c>
      <c r="I71" s="6">
        <f t="shared" ca="1" si="11"/>
        <v>8</v>
      </c>
      <c r="J71" s="3">
        <v>55270</v>
      </c>
      <c r="K71" s="8">
        <f>VLOOKUP(O71,Lookup_Performance!$C$1:$D$6,2,FALSE)</f>
        <v>0.08</v>
      </c>
      <c r="L71" s="3">
        <f t="shared" si="7"/>
        <v>4421.6000000000004</v>
      </c>
      <c r="M71" s="4">
        <v>87</v>
      </c>
      <c r="N71" s="5" t="s">
        <v>37</v>
      </c>
      <c r="O71" s="6" t="str">
        <f t="shared" si="8"/>
        <v>Exceeding</v>
      </c>
      <c r="P71" t="str">
        <f t="shared" si="9"/>
        <v>Active</v>
      </c>
    </row>
    <row r="72" spans="1:16" x14ac:dyDescent="0.35">
      <c r="A72" t="s">
        <v>116</v>
      </c>
      <c r="B72" s="5" t="s">
        <v>117</v>
      </c>
      <c r="C72" s="5" t="s">
        <v>99</v>
      </c>
      <c r="D72" s="5" t="str">
        <f t="shared" si="10"/>
        <v>William Garcia</v>
      </c>
      <c r="E72" t="s">
        <v>36</v>
      </c>
      <c r="F72" t="str">
        <f>VLOOKUP(E72,Lookup_Departments!$A$2:$B$7,2,FALSE)</f>
        <v>Sales</v>
      </c>
      <c r="G72" s="2">
        <v>42192</v>
      </c>
      <c r="H72" s="2">
        <f t="shared" ca="1" si="6"/>
        <v>46208</v>
      </c>
      <c r="I72" s="6">
        <f t="shared" ca="1" si="11"/>
        <v>10</v>
      </c>
      <c r="J72" s="3">
        <v>65235</v>
      </c>
      <c r="K72" s="8">
        <f>VLOOKUP(O72,Lookup_Performance!$C$1:$D$6,2,FALSE)</f>
        <v>0.12</v>
      </c>
      <c r="L72" s="3">
        <f t="shared" si="7"/>
        <v>7828.2</v>
      </c>
      <c r="M72" s="4">
        <v>97</v>
      </c>
      <c r="N72" s="5" t="s">
        <v>216</v>
      </c>
      <c r="O72" s="6" t="str">
        <f t="shared" si="8"/>
        <v>Outstanding</v>
      </c>
      <c r="P72" t="str">
        <f t="shared" si="9"/>
        <v>Active</v>
      </c>
    </row>
    <row r="73" spans="1:16" x14ac:dyDescent="0.35">
      <c r="A73" t="s">
        <v>118</v>
      </c>
      <c r="B73" s="5" t="s">
        <v>18</v>
      </c>
      <c r="C73" s="5" t="s">
        <v>16</v>
      </c>
      <c r="D73" s="5" t="str">
        <f t="shared" si="10"/>
        <v>John Gonzalez</v>
      </c>
      <c r="E73" t="s">
        <v>36</v>
      </c>
      <c r="F73" t="str">
        <f>VLOOKUP(E73,Lookup_Departments!$A$2:$B$7,2,FALSE)</f>
        <v>Sales</v>
      </c>
      <c r="G73" s="2">
        <v>43283</v>
      </c>
      <c r="H73" s="2">
        <f t="shared" ca="1" si="6"/>
        <v>46208</v>
      </c>
      <c r="I73" s="6">
        <f t="shared" ca="1" si="11"/>
        <v>8</v>
      </c>
      <c r="J73" s="3">
        <v>83604</v>
      </c>
      <c r="K73" s="8">
        <f>VLOOKUP(O73,Lookup_Performance!$C$1:$D$6,2,FALSE)</f>
        <v>0.05</v>
      </c>
      <c r="L73" s="3">
        <f t="shared" si="7"/>
        <v>4180.2</v>
      </c>
      <c r="M73" s="4">
        <v>72</v>
      </c>
      <c r="N73" s="5" t="s">
        <v>217</v>
      </c>
      <c r="O73" s="6" t="str">
        <f t="shared" si="8"/>
        <v>Achieving</v>
      </c>
      <c r="P73" t="str">
        <f t="shared" si="9"/>
        <v>Left</v>
      </c>
    </row>
    <row r="74" spans="1:16" x14ac:dyDescent="0.35">
      <c r="A74" t="s">
        <v>119</v>
      </c>
      <c r="B74" s="5" t="s">
        <v>52</v>
      </c>
      <c r="C74" s="5" t="s">
        <v>16</v>
      </c>
      <c r="D74" s="5" t="str">
        <f t="shared" si="10"/>
        <v>James Gonzalez</v>
      </c>
      <c r="E74" t="s">
        <v>36</v>
      </c>
      <c r="F74" t="str">
        <f>VLOOKUP(E74,Lookup_Departments!$A$2:$B$7,2,FALSE)</f>
        <v>Sales</v>
      </c>
      <c r="G74" s="2">
        <v>44819</v>
      </c>
      <c r="H74" s="2">
        <f t="shared" ca="1" si="6"/>
        <v>46208</v>
      </c>
      <c r="I74" s="6">
        <f t="shared" ca="1" si="11"/>
        <v>3</v>
      </c>
      <c r="J74" s="3">
        <v>83604</v>
      </c>
      <c r="K74" s="8">
        <f>VLOOKUP(O74,Lookup_Performance!$C$1:$D$6,2,FALSE)</f>
        <v>0.02</v>
      </c>
      <c r="L74" s="3">
        <f t="shared" si="7"/>
        <v>1672.08</v>
      </c>
      <c r="M74" s="4">
        <v>65</v>
      </c>
      <c r="N74" s="5" t="s">
        <v>217</v>
      </c>
      <c r="O74" s="6" t="str">
        <f t="shared" si="8"/>
        <v>Developing</v>
      </c>
      <c r="P74" t="str">
        <f t="shared" si="9"/>
        <v>Left</v>
      </c>
    </row>
    <row r="75" spans="1:16" x14ac:dyDescent="0.35">
      <c r="A75" t="s">
        <v>120</v>
      </c>
      <c r="B75" s="5" t="s">
        <v>42</v>
      </c>
      <c r="C75" s="5" t="s">
        <v>16</v>
      </c>
      <c r="D75" s="5" t="str">
        <f t="shared" si="10"/>
        <v>Jane Gonzalez</v>
      </c>
      <c r="E75" t="s">
        <v>36</v>
      </c>
      <c r="F75" t="str">
        <f>VLOOKUP(E75,Lookup_Departments!$A$2:$B$7,2,FALSE)</f>
        <v>Sales</v>
      </c>
      <c r="G75" s="2">
        <v>42249</v>
      </c>
      <c r="H75" s="2">
        <f t="shared" ca="1" si="6"/>
        <v>46208</v>
      </c>
      <c r="I75" s="6">
        <f t="shared" ca="1" si="11"/>
        <v>10</v>
      </c>
      <c r="J75" s="3">
        <v>83604</v>
      </c>
      <c r="K75" s="8">
        <f>VLOOKUP(O75,Lookup_Performance!$C$1:$D$6,2,FALSE)</f>
        <v>0.02</v>
      </c>
      <c r="L75" s="3">
        <f t="shared" si="7"/>
        <v>1672.08</v>
      </c>
      <c r="M75" s="4">
        <v>67</v>
      </c>
      <c r="N75" s="5" t="s">
        <v>37</v>
      </c>
      <c r="O75" s="6" t="str">
        <f t="shared" si="8"/>
        <v>Developing</v>
      </c>
      <c r="P75" t="str">
        <f t="shared" si="9"/>
        <v>Active</v>
      </c>
    </row>
    <row r="76" spans="1:16" x14ac:dyDescent="0.35">
      <c r="A76" t="s">
        <v>121</v>
      </c>
      <c r="B76" s="5" t="s">
        <v>84</v>
      </c>
      <c r="C76" s="5" t="s">
        <v>29</v>
      </c>
      <c r="D76" s="5" t="str">
        <f t="shared" si="10"/>
        <v>David Wilson</v>
      </c>
      <c r="E76" t="s">
        <v>27</v>
      </c>
      <c r="F76" t="str">
        <f>VLOOKUP(E76,Lookup_Departments!$A$2:$B$7,2,FALSE)</f>
        <v>Operations</v>
      </c>
      <c r="G76" s="2">
        <v>42654</v>
      </c>
      <c r="H76" s="2">
        <f t="shared" ca="1" si="6"/>
        <v>46208</v>
      </c>
      <c r="I76" s="6">
        <f t="shared" ca="1" si="11"/>
        <v>9</v>
      </c>
      <c r="J76" s="3">
        <v>48823</v>
      </c>
      <c r="K76" s="8">
        <f>VLOOKUP(O76,Lookup_Performance!$C$1:$D$6,2,FALSE)</f>
        <v>0</v>
      </c>
      <c r="L76" s="3">
        <f t="shared" si="7"/>
        <v>0</v>
      </c>
      <c r="M76" s="4">
        <v>34</v>
      </c>
      <c r="N76" s="5" t="s">
        <v>216</v>
      </c>
      <c r="O76" s="6" t="str">
        <f t="shared" si="8"/>
        <v>Needs Improvement</v>
      </c>
      <c r="P76" t="str">
        <f t="shared" si="9"/>
        <v>Active</v>
      </c>
    </row>
    <row r="77" spans="1:16" x14ac:dyDescent="0.35">
      <c r="A77" t="s">
        <v>122</v>
      </c>
      <c r="B77" s="5" t="s">
        <v>42</v>
      </c>
      <c r="C77" s="5" t="s">
        <v>16</v>
      </c>
      <c r="D77" s="5" t="str">
        <f t="shared" si="10"/>
        <v>Jane Gonzalez</v>
      </c>
      <c r="E77" t="s">
        <v>20</v>
      </c>
      <c r="F77" t="str">
        <f>VLOOKUP(E77,Lookup_Departments!$A$2:$B$7,2,FALSE)</f>
        <v>Finance</v>
      </c>
      <c r="G77" s="2">
        <v>43575</v>
      </c>
      <c r="H77" s="2">
        <f t="shared" ca="1" si="6"/>
        <v>46208</v>
      </c>
      <c r="I77" s="6">
        <f t="shared" ca="1" si="11"/>
        <v>7</v>
      </c>
      <c r="J77" s="3">
        <v>45196</v>
      </c>
      <c r="K77" s="8">
        <f>VLOOKUP(O77,Lookup_Performance!$C$1:$D$6,2,FALSE)</f>
        <v>0.05</v>
      </c>
      <c r="L77" s="3">
        <f t="shared" si="7"/>
        <v>2259.8000000000002</v>
      </c>
      <c r="M77" s="4">
        <v>78</v>
      </c>
      <c r="N77" s="5" t="s">
        <v>217</v>
      </c>
      <c r="O77" s="6" t="str">
        <f t="shared" si="8"/>
        <v>Achieving</v>
      </c>
      <c r="P77" t="str">
        <f t="shared" si="9"/>
        <v>Left</v>
      </c>
    </row>
    <row r="78" spans="1:16" x14ac:dyDescent="0.35">
      <c r="A78" t="s">
        <v>123</v>
      </c>
      <c r="B78" s="5" t="s">
        <v>42</v>
      </c>
      <c r="C78" s="5" t="s">
        <v>33</v>
      </c>
      <c r="D78" s="5" t="str">
        <f t="shared" si="10"/>
        <v>Jane Rodriguez</v>
      </c>
      <c r="E78" t="s">
        <v>9</v>
      </c>
      <c r="F78" t="str">
        <f>VLOOKUP(E78,Lookup_Departments!$A$2:$B$7,2,FALSE)</f>
        <v>Information Technology</v>
      </c>
      <c r="G78" s="2">
        <v>42785</v>
      </c>
      <c r="H78" s="2">
        <f t="shared" ca="1" si="6"/>
        <v>46208</v>
      </c>
      <c r="I78" s="6">
        <f t="shared" ca="1" si="11"/>
        <v>9</v>
      </c>
      <c r="J78" s="3">
        <v>86246</v>
      </c>
      <c r="K78" s="8">
        <f>VLOOKUP(O78,Lookup_Performance!$C$1:$D$6,2,FALSE)</f>
        <v>0.02</v>
      </c>
      <c r="L78" s="3">
        <f t="shared" si="7"/>
        <v>1724.92</v>
      </c>
      <c r="M78" s="4">
        <v>61</v>
      </c>
      <c r="N78" s="5" t="s">
        <v>37</v>
      </c>
      <c r="O78" s="6" t="str">
        <f t="shared" si="8"/>
        <v>Developing</v>
      </c>
      <c r="P78" t="str">
        <f t="shared" si="9"/>
        <v>Active</v>
      </c>
    </row>
    <row r="79" spans="1:16" x14ac:dyDescent="0.35">
      <c r="A79" t="s">
        <v>124</v>
      </c>
      <c r="B79" s="5" t="s">
        <v>7</v>
      </c>
      <c r="C79" s="5" t="s">
        <v>39</v>
      </c>
      <c r="D79" s="5" t="str">
        <f t="shared" si="10"/>
        <v>Emily Miller</v>
      </c>
      <c r="E79" t="s">
        <v>36</v>
      </c>
      <c r="F79" t="str">
        <f>VLOOKUP(E79,Lookup_Departments!$A$2:$B$7,2,FALSE)</f>
        <v>Sales</v>
      </c>
      <c r="G79" s="2">
        <v>44446</v>
      </c>
      <c r="H79" s="2">
        <f t="shared" ca="1" si="6"/>
        <v>46208</v>
      </c>
      <c r="I79" s="6">
        <f t="shared" ca="1" si="11"/>
        <v>4</v>
      </c>
      <c r="J79" s="3">
        <v>70359</v>
      </c>
      <c r="K79" s="8">
        <f>VLOOKUP(O79,Lookup_Performance!$C$1:$D$6,2,FALSE)</f>
        <v>0.05</v>
      </c>
      <c r="L79" s="3">
        <f t="shared" si="7"/>
        <v>3517.9500000000003</v>
      </c>
      <c r="M79" s="4">
        <v>74</v>
      </c>
      <c r="N79" s="5" t="s">
        <v>24</v>
      </c>
      <c r="O79" s="6" t="str">
        <f t="shared" si="8"/>
        <v>Achieving</v>
      </c>
      <c r="P79" t="str">
        <f t="shared" si="9"/>
        <v>Left</v>
      </c>
    </row>
    <row r="80" spans="1:16" x14ac:dyDescent="0.35">
      <c r="A80" t="s">
        <v>125</v>
      </c>
      <c r="B80" s="5" t="s">
        <v>71</v>
      </c>
      <c r="C80" s="5" t="s">
        <v>39</v>
      </c>
      <c r="D80" s="5" t="str">
        <f t="shared" si="10"/>
        <v>Sarah Miller</v>
      </c>
      <c r="E80" t="s">
        <v>14</v>
      </c>
      <c r="F80" t="str">
        <f>VLOOKUP(E80,Lookup_Departments!$A$2:$B$7,2,FALSE)</f>
        <v>Marketing</v>
      </c>
      <c r="G80" s="2">
        <v>43599</v>
      </c>
      <c r="H80" s="2">
        <f t="shared" ca="1" si="6"/>
        <v>46208</v>
      </c>
      <c r="I80" s="6">
        <f t="shared" ca="1" si="11"/>
        <v>7</v>
      </c>
      <c r="J80" s="3">
        <v>83604</v>
      </c>
      <c r="K80" s="8">
        <f>VLOOKUP(O80,Lookup_Performance!$C$1:$D$6,2,FALSE)</f>
        <v>0.08</v>
      </c>
      <c r="L80" s="3">
        <f t="shared" si="7"/>
        <v>6688.32</v>
      </c>
      <c r="M80" s="4">
        <v>94</v>
      </c>
      <c r="N80" s="5" t="s">
        <v>216</v>
      </c>
      <c r="O80" s="6" t="str">
        <f t="shared" si="8"/>
        <v>Exceeding</v>
      </c>
      <c r="P80" t="str">
        <f t="shared" si="9"/>
        <v>Active</v>
      </c>
    </row>
    <row r="81" spans="1:16" x14ac:dyDescent="0.35">
      <c r="A81" t="s">
        <v>126</v>
      </c>
      <c r="B81" s="5" t="s">
        <v>31</v>
      </c>
      <c r="C81" s="5" t="s">
        <v>99</v>
      </c>
      <c r="D81" s="5" t="str">
        <f t="shared" si="10"/>
        <v>Jessica Garcia</v>
      </c>
      <c r="E81" t="s">
        <v>27</v>
      </c>
      <c r="F81" t="str">
        <f>VLOOKUP(E81,Lookup_Departments!$A$2:$B$7,2,FALSE)</f>
        <v>Operations</v>
      </c>
      <c r="G81" s="2">
        <v>42330</v>
      </c>
      <c r="H81" s="2">
        <f t="shared" ca="1" si="6"/>
        <v>46208</v>
      </c>
      <c r="I81" s="6">
        <f t="shared" ca="1" si="11"/>
        <v>10</v>
      </c>
      <c r="J81" s="3">
        <v>86480</v>
      </c>
      <c r="K81" s="8">
        <f>VLOOKUP(O81,Lookup_Performance!$C$1:$D$6,2,FALSE)</f>
        <v>0.02</v>
      </c>
      <c r="L81" s="3">
        <f t="shared" si="7"/>
        <v>1729.6000000000001</v>
      </c>
      <c r="M81" s="4">
        <v>68</v>
      </c>
      <c r="N81" s="5" t="s">
        <v>216</v>
      </c>
      <c r="O81" s="6" t="str">
        <f t="shared" si="8"/>
        <v>Developing</v>
      </c>
      <c r="P81" t="str">
        <f t="shared" si="9"/>
        <v>Active</v>
      </c>
    </row>
    <row r="82" spans="1:16" x14ac:dyDescent="0.35">
      <c r="A82" t="s">
        <v>127</v>
      </c>
      <c r="B82" s="5" t="s">
        <v>12</v>
      </c>
      <c r="C82" s="5" t="s">
        <v>23</v>
      </c>
      <c r="D82" s="5" t="str">
        <f t="shared" si="10"/>
        <v>Richard Smith</v>
      </c>
      <c r="E82" t="s">
        <v>73</v>
      </c>
      <c r="F82" t="str">
        <f>VLOOKUP(E82,Lookup_Departments!$A$2:$B$7,2,FALSE)</f>
        <v>Human Resources</v>
      </c>
      <c r="G82" s="2">
        <v>43372</v>
      </c>
      <c r="H82" s="2">
        <f t="shared" ca="1" si="6"/>
        <v>46208</v>
      </c>
      <c r="I82" s="6">
        <f t="shared" ca="1" si="11"/>
        <v>7</v>
      </c>
      <c r="J82" s="3">
        <v>47694</v>
      </c>
      <c r="K82" s="8">
        <f>VLOOKUP(O82,Lookup_Performance!$C$1:$D$6,2,FALSE)</f>
        <v>0.05</v>
      </c>
      <c r="L82" s="3">
        <f t="shared" si="7"/>
        <v>2384.7000000000003</v>
      </c>
      <c r="M82" s="4">
        <v>75</v>
      </c>
      <c r="N82" s="5" t="s">
        <v>216</v>
      </c>
      <c r="O82" s="6" t="str">
        <f t="shared" si="8"/>
        <v>Achieving</v>
      </c>
      <c r="P82" t="str">
        <f t="shared" si="9"/>
        <v>Active</v>
      </c>
    </row>
    <row r="83" spans="1:16" x14ac:dyDescent="0.35">
      <c r="A83" t="s">
        <v>128</v>
      </c>
      <c r="B83" s="5" t="s">
        <v>78</v>
      </c>
      <c r="C83" s="5" t="s">
        <v>29</v>
      </c>
      <c r="D83" s="5" t="str">
        <f t="shared" si="10"/>
        <v>Melissa Wilson</v>
      </c>
      <c r="E83" t="s">
        <v>9</v>
      </c>
      <c r="F83" t="str">
        <f>VLOOKUP(E83,Lookup_Departments!$A$2:$B$7,2,FALSE)</f>
        <v>Information Technology</v>
      </c>
      <c r="G83" s="2">
        <v>45171</v>
      </c>
      <c r="H83" s="2">
        <f t="shared" ca="1" si="6"/>
        <v>46208</v>
      </c>
      <c r="I83" s="6">
        <f t="shared" ca="1" si="11"/>
        <v>2</v>
      </c>
      <c r="J83" s="3">
        <v>83724</v>
      </c>
      <c r="K83" s="8">
        <f>VLOOKUP(O83,Lookup_Performance!$C$1:$D$6,2,FALSE)</f>
        <v>0.05</v>
      </c>
      <c r="L83" s="3">
        <f t="shared" si="7"/>
        <v>4186.2</v>
      </c>
      <c r="M83" s="4">
        <v>81</v>
      </c>
      <c r="N83" s="5" t="s">
        <v>86</v>
      </c>
      <c r="O83" s="6" t="str">
        <f t="shared" si="8"/>
        <v>Achieving</v>
      </c>
      <c r="P83" t="str">
        <f t="shared" si="9"/>
        <v>Resigned</v>
      </c>
    </row>
    <row r="84" spans="1:16" x14ac:dyDescent="0.35">
      <c r="A84" t="s">
        <v>129</v>
      </c>
      <c r="B84" s="5" t="s">
        <v>22</v>
      </c>
      <c r="C84" s="5" t="s">
        <v>43</v>
      </c>
      <c r="D84" s="5" t="str">
        <f t="shared" si="10"/>
        <v>Thomas Williams</v>
      </c>
      <c r="E84" t="s">
        <v>20</v>
      </c>
      <c r="F84" t="str">
        <f>VLOOKUP(E84,Lookup_Departments!$A$2:$B$7,2,FALSE)</f>
        <v>Finance</v>
      </c>
      <c r="G84" s="2">
        <v>44759</v>
      </c>
      <c r="H84" s="2">
        <f t="shared" ca="1" si="6"/>
        <v>46208</v>
      </c>
      <c r="I84" s="6">
        <f t="shared" ca="1" si="11"/>
        <v>3</v>
      </c>
      <c r="J84" s="3">
        <v>98299</v>
      </c>
      <c r="K84" s="8">
        <f>VLOOKUP(O84,Lookup_Performance!$C$1:$D$6,2,FALSE)</f>
        <v>0.02</v>
      </c>
      <c r="L84" s="3">
        <f t="shared" si="7"/>
        <v>1965.98</v>
      </c>
      <c r="M84" s="4">
        <v>61</v>
      </c>
      <c r="N84" s="5" t="s">
        <v>37</v>
      </c>
      <c r="O84" s="6" t="str">
        <f t="shared" si="8"/>
        <v>Developing</v>
      </c>
      <c r="P84" t="str">
        <f t="shared" si="9"/>
        <v>Active</v>
      </c>
    </row>
    <row r="85" spans="1:16" x14ac:dyDescent="0.35">
      <c r="A85" t="s">
        <v>130</v>
      </c>
      <c r="B85" s="5" t="s">
        <v>84</v>
      </c>
      <c r="C85" s="5" t="s">
        <v>43</v>
      </c>
      <c r="D85" s="5" t="str">
        <f t="shared" si="10"/>
        <v>David Williams</v>
      </c>
      <c r="E85" t="s">
        <v>20</v>
      </c>
      <c r="F85" t="str">
        <f>VLOOKUP(E85,Lookup_Departments!$A$2:$B$7,2,FALSE)</f>
        <v>Finance</v>
      </c>
      <c r="G85" s="2">
        <v>44234</v>
      </c>
      <c r="H85" s="2">
        <f t="shared" ca="1" si="6"/>
        <v>46208</v>
      </c>
      <c r="I85" s="6">
        <f t="shared" ca="1" si="11"/>
        <v>5</v>
      </c>
      <c r="J85" s="3">
        <v>83604</v>
      </c>
      <c r="K85" s="8">
        <f>VLOOKUP(O85,Lookup_Performance!$C$1:$D$6,2,FALSE)</f>
        <v>0.02</v>
      </c>
      <c r="L85" s="3">
        <f t="shared" si="7"/>
        <v>1672.08</v>
      </c>
      <c r="M85" s="4">
        <v>68</v>
      </c>
      <c r="N85" s="5" t="s">
        <v>37</v>
      </c>
      <c r="O85" s="6" t="str">
        <f t="shared" si="8"/>
        <v>Developing</v>
      </c>
      <c r="P85" t="str">
        <f t="shared" si="9"/>
        <v>Active</v>
      </c>
    </row>
    <row r="86" spans="1:16" x14ac:dyDescent="0.35">
      <c r="A86" t="s">
        <v>131</v>
      </c>
      <c r="B86" s="5" t="s">
        <v>18</v>
      </c>
      <c r="C86" s="5" t="s">
        <v>26</v>
      </c>
      <c r="D86" s="5" t="str">
        <f t="shared" si="10"/>
        <v>John Johnson</v>
      </c>
      <c r="E86" t="s">
        <v>9</v>
      </c>
      <c r="F86" t="str">
        <f>VLOOKUP(E86,Lookup_Departments!$A$2:$B$7,2,FALSE)</f>
        <v>Information Technology</v>
      </c>
      <c r="G86" s="2">
        <v>45203</v>
      </c>
      <c r="H86" s="2">
        <f t="shared" ca="1" si="6"/>
        <v>46208</v>
      </c>
      <c r="I86" s="6">
        <f t="shared" ca="1" si="11"/>
        <v>2</v>
      </c>
      <c r="J86" s="3">
        <v>52287</v>
      </c>
      <c r="K86" s="8">
        <f>VLOOKUP(O86,Lookup_Performance!$C$1:$D$6,2,FALSE)</f>
        <v>0.05</v>
      </c>
      <c r="L86" s="3">
        <f t="shared" si="7"/>
        <v>2614.3500000000004</v>
      </c>
      <c r="M86" s="4">
        <v>70</v>
      </c>
      <c r="N86" s="5" t="s">
        <v>10</v>
      </c>
      <c r="O86" s="6" t="str">
        <f t="shared" si="8"/>
        <v>Achieving</v>
      </c>
      <c r="P86" t="str">
        <f t="shared" si="9"/>
        <v>Active</v>
      </c>
    </row>
    <row r="87" spans="1:16" x14ac:dyDescent="0.35">
      <c r="A87" t="s">
        <v>132</v>
      </c>
      <c r="B87" s="5" t="s">
        <v>12</v>
      </c>
      <c r="C87" s="5" t="s">
        <v>16</v>
      </c>
      <c r="D87" s="5" t="str">
        <f t="shared" si="10"/>
        <v>Richard Gonzalez</v>
      </c>
      <c r="E87" t="s">
        <v>9</v>
      </c>
      <c r="F87" t="str">
        <f>VLOOKUP(E87,Lookup_Departments!$A$2:$B$7,2,FALSE)</f>
        <v>Information Technology</v>
      </c>
      <c r="G87" s="2">
        <v>44073</v>
      </c>
      <c r="H87" s="2">
        <f t="shared" ca="1" si="6"/>
        <v>46208</v>
      </c>
      <c r="I87" s="6">
        <f t="shared" ca="1" si="11"/>
        <v>5</v>
      </c>
      <c r="J87" s="3">
        <v>82633</v>
      </c>
      <c r="K87" s="8">
        <f>VLOOKUP(O87,Lookup_Performance!$C$1:$D$6,2,FALSE)</f>
        <v>0.12</v>
      </c>
      <c r="L87" s="3">
        <f t="shared" si="7"/>
        <v>9915.9599999999991</v>
      </c>
      <c r="M87" s="4">
        <v>98</v>
      </c>
      <c r="N87" s="5" t="s">
        <v>216</v>
      </c>
      <c r="O87" s="6" t="str">
        <f t="shared" si="8"/>
        <v>Outstanding</v>
      </c>
      <c r="P87" t="str">
        <f t="shared" si="9"/>
        <v>Active</v>
      </c>
    </row>
    <row r="88" spans="1:16" x14ac:dyDescent="0.35">
      <c r="A88" t="s">
        <v>133</v>
      </c>
      <c r="B88" s="5" t="s">
        <v>78</v>
      </c>
      <c r="C88" s="5" t="s">
        <v>101</v>
      </c>
      <c r="D88" s="5" t="str">
        <f t="shared" si="10"/>
        <v>Melissa Anderson</v>
      </c>
      <c r="E88" t="s">
        <v>27</v>
      </c>
      <c r="F88" t="str">
        <f>VLOOKUP(E88,Lookup_Departments!$A$2:$B$7,2,FALSE)</f>
        <v>Operations</v>
      </c>
      <c r="G88" s="2">
        <v>44422</v>
      </c>
      <c r="H88" s="2">
        <f t="shared" ca="1" si="6"/>
        <v>46208</v>
      </c>
      <c r="I88" s="6">
        <f t="shared" ca="1" si="11"/>
        <v>4</v>
      </c>
      <c r="J88" s="3">
        <v>46508</v>
      </c>
      <c r="K88" s="8">
        <f>VLOOKUP(O88,Lookup_Performance!$C$1:$D$6,2,FALSE)</f>
        <v>0</v>
      </c>
      <c r="L88" s="3">
        <f t="shared" si="7"/>
        <v>0</v>
      </c>
      <c r="M88" s="4">
        <v>34</v>
      </c>
      <c r="N88" s="5" t="s">
        <v>37</v>
      </c>
      <c r="O88" s="6" t="str">
        <f t="shared" si="8"/>
        <v>Needs Improvement</v>
      </c>
      <c r="P88" t="str">
        <f t="shared" si="9"/>
        <v>Active</v>
      </c>
    </row>
    <row r="89" spans="1:16" x14ac:dyDescent="0.35">
      <c r="A89" t="s">
        <v>134</v>
      </c>
      <c r="B89" s="5" t="s">
        <v>7</v>
      </c>
      <c r="C89" s="5" t="s">
        <v>16</v>
      </c>
      <c r="D89" s="5" t="str">
        <f t="shared" si="10"/>
        <v>Emily Gonzalez</v>
      </c>
      <c r="E89" t="s">
        <v>73</v>
      </c>
      <c r="F89" t="str">
        <f>VLOOKUP(E89,Lookup_Departments!$A$2:$B$7,2,FALSE)</f>
        <v>Human Resources</v>
      </c>
      <c r="G89" s="2">
        <v>43796</v>
      </c>
      <c r="H89" s="2">
        <f t="shared" ca="1" si="6"/>
        <v>46208</v>
      </c>
      <c r="I89" s="6">
        <f t="shared" ca="1" si="11"/>
        <v>6</v>
      </c>
      <c r="J89" s="3">
        <v>86232</v>
      </c>
      <c r="K89" s="8">
        <f>VLOOKUP(O89,Lookup_Performance!$C$1:$D$6,2,FALSE)</f>
        <v>0.08</v>
      </c>
      <c r="L89" s="3">
        <f t="shared" si="7"/>
        <v>6898.56</v>
      </c>
      <c r="M89" s="4">
        <v>93</v>
      </c>
      <c r="N89" s="5" t="s">
        <v>37</v>
      </c>
      <c r="O89" s="6" t="str">
        <f t="shared" si="8"/>
        <v>Exceeding</v>
      </c>
      <c r="P89" t="str">
        <f t="shared" si="9"/>
        <v>Active</v>
      </c>
    </row>
    <row r="90" spans="1:16" x14ac:dyDescent="0.35">
      <c r="A90" t="s">
        <v>135</v>
      </c>
      <c r="B90" s="5" t="s">
        <v>42</v>
      </c>
      <c r="C90" s="5" t="s">
        <v>50</v>
      </c>
      <c r="D90" s="5" t="str">
        <f t="shared" si="10"/>
        <v>Jane Davis</v>
      </c>
      <c r="E90" t="s">
        <v>9</v>
      </c>
      <c r="F90" t="str">
        <f>VLOOKUP(E90,Lookup_Departments!$A$2:$B$7,2,FALSE)</f>
        <v>Information Technology</v>
      </c>
      <c r="G90" s="2">
        <v>42880</v>
      </c>
      <c r="H90" s="2">
        <f t="shared" ca="1" si="6"/>
        <v>46208</v>
      </c>
      <c r="I90" s="6">
        <f t="shared" ca="1" si="11"/>
        <v>9</v>
      </c>
      <c r="J90" s="3">
        <v>77545</v>
      </c>
      <c r="K90" s="8">
        <f>VLOOKUP(O90,Lookup_Performance!$C$1:$D$6,2,FALSE)</f>
        <v>0</v>
      </c>
      <c r="L90" s="3">
        <f t="shared" si="7"/>
        <v>0</v>
      </c>
      <c r="M90" s="4">
        <v>48</v>
      </c>
      <c r="N90" s="5" t="s">
        <v>37</v>
      </c>
      <c r="O90" s="6" t="str">
        <f t="shared" si="8"/>
        <v>Needs Improvement</v>
      </c>
      <c r="P90" t="str">
        <f t="shared" si="9"/>
        <v>Active</v>
      </c>
    </row>
    <row r="91" spans="1:16" x14ac:dyDescent="0.35">
      <c r="A91" t="s">
        <v>136</v>
      </c>
      <c r="B91" s="5" t="s">
        <v>117</v>
      </c>
      <c r="C91" s="5" t="s">
        <v>16</v>
      </c>
      <c r="D91" s="5" t="str">
        <f t="shared" si="10"/>
        <v>William Gonzalez</v>
      </c>
      <c r="E91" t="s">
        <v>27</v>
      </c>
      <c r="F91" t="str">
        <f>VLOOKUP(E91,Lookup_Departments!$A$2:$B$7,2,FALSE)</f>
        <v>Operations</v>
      </c>
      <c r="G91" s="2">
        <v>43436</v>
      </c>
      <c r="H91" s="2">
        <f t="shared" ca="1" si="6"/>
        <v>46208</v>
      </c>
      <c r="I91" s="6">
        <f t="shared" ca="1" si="11"/>
        <v>7</v>
      </c>
      <c r="J91" s="3">
        <v>68683</v>
      </c>
      <c r="K91" s="8">
        <f>VLOOKUP(O91,Lookup_Performance!$C$1:$D$6,2,FALSE)</f>
        <v>0.08</v>
      </c>
      <c r="L91" s="3">
        <f t="shared" si="7"/>
        <v>5494.64</v>
      </c>
      <c r="M91" s="4">
        <v>90</v>
      </c>
      <c r="N91" s="5" t="s">
        <v>37</v>
      </c>
      <c r="O91" s="6" t="str">
        <f t="shared" si="8"/>
        <v>Exceeding</v>
      </c>
      <c r="P91" t="str">
        <f t="shared" si="9"/>
        <v>Active</v>
      </c>
    </row>
    <row r="92" spans="1:16" x14ac:dyDescent="0.35">
      <c r="A92" t="s">
        <v>137</v>
      </c>
      <c r="B92" s="5" t="s">
        <v>22</v>
      </c>
      <c r="C92" s="5" t="s">
        <v>47</v>
      </c>
      <c r="D92" s="5" t="str">
        <f t="shared" si="10"/>
        <v>Thomas Jones</v>
      </c>
      <c r="E92" t="s">
        <v>20</v>
      </c>
      <c r="F92" t="str">
        <f>VLOOKUP(E92,Lookup_Departments!$A$2:$B$7,2,FALSE)</f>
        <v>Finance</v>
      </c>
      <c r="G92" s="2">
        <v>43639</v>
      </c>
      <c r="H92" s="2">
        <f t="shared" ca="1" si="6"/>
        <v>46208</v>
      </c>
      <c r="I92" s="6">
        <f t="shared" ca="1" si="11"/>
        <v>7</v>
      </c>
      <c r="J92" s="3">
        <v>83932</v>
      </c>
      <c r="K92" s="8">
        <f>VLOOKUP(O92,Lookup_Performance!$C$1:$D$6,2,FALSE)</f>
        <v>0.02</v>
      </c>
      <c r="L92" s="3">
        <f t="shared" si="7"/>
        <v>1678.64</v>
      </c>
      <c r="M92" s="4">
        <v>57</v>
      </c>
      <c r="N92" s="5" t="s">
        <v>217</v>
      </c>
      <c r="O92" s="6" t="str">
        <f t="shared" si="8"/>
        <v>Developing</v>
      </c>
      <c r="P92" t="str">
        <f t="shared" si="9"/>
        <v>Left</v>
      </c>
    </row>
    <row r="93" spans="1:16" x14ac:dyDescent="0.35">
      <c r="A93" t="s">
        <v>138</v>
      </c>
      <c r="B93" s="5" t="s">
        <v>31</v>
      </c>
      <c r="C93" s="5" t="s">
        <v>101</v>
      </c>
      <c r="D93" s="5" t="str">
        <f t="shared" si="10"/>
        <v>Jessica Anderson</v>
      </c>
      <c r="E93" t="s">
        <v>73</v>
      </c>
      <c r="F93" t="str">
        <f>VLOOKUP(E93,Lookup_Departments!$A$2:$B$7,2,FALSE)</f>
        <v>Human Resources</v>
      </c>
      <c r="G93" s="2">
        <v>42304</v>
      </c>
      <c r="H93" s="2">
        <f t="shared" ca="1" si="6"/>
        <v>46208</v>
      </c>
      <c r="I93" s="6">
        <f t="shared" ca="1" si="11"/>
        <v>10</v>
      </c>
      <c r="J93" s="3">
        <v>56073</v>
      </c>
      <c r="K93" s="8">
        <f>VLOOKUP(O93,Lookup_Performance!$C$1:$D$6,2,FALSE)</f>
        <v>0.05</v>
      </c>
      <c r="L93" s="3">
        <f t="shared" si="7"/>
        <v>2803.65</v>
      </c>
      <c r="M93" s="4">
        <v>79</v>
      </c>
      <c r="N93" s="5" t="s">
        <v>37</v>
      </c>
      <c r="O93" s="6" t="str">
        <f t="shared" si="8"/>
        <v>Achieving</v>
      </c>
      <c r="P93" t="str">
        <f t="shared" si="9"/>
        <v>Active</v>
      </c>
    </row>
    <row r="94" spans="1:16" x14ac:dyDescent="0.35">
      <c r="A94" t="s">
        <v>139</v>
      </c>
      <c r="B94" s="5" t="s">
        <v>78</v>
      </c>
      <c r="C94" s="5" t="s">
        <v>26</v>
      </c>
      <c r="D94" s="5" t="str">
        <f t="shared" si="10"/>
        <v>Melissa Johnson</v>
      </c>
      <c r="E94" t="s">
        <v>9</v>
      </c>
      <c r="F94" t="str">
        <f>VLOOKUP(E94,Lookup_Departments!$A$2:$B$7,2,FALSE)</f>
        <v>Information Technology</v>
      </c>
      <c r="G94" s="2">
        <v>43270</v>
      </c>
      <c r="H94" s="2">
        <f t="shared" ca="1" si="6"/>
        <v>46208</v>
      </c>
      <c r="I94" s="6">
        <f t="shared" ca="1" si="11"/>
        <v>8</v>
      </c>
      <c r="J94" s="3">
        <v>88056</v>
      </c>
      <c r="K94" s="8">
        <f>VLOOKUP(O94,Lookup_Performance!$C$1:$D$6,2,FALSE)</f>
        <v>0.02</v>
      </c>
      <c r="L94" s="3">
        <f t="shared" si="7"/>
        <v>1761.1200000000001</v>
      </c>
      <c r="M94" s="4">
        <v>66</v>
      </c>
      <c r="N94" s="5" t="s">
        <v>37</v>
      </c>
      <c r="O94" s="6" t="str">
        <f t="shared" si="8"/>
        <v>Developing</v>
      </c>
      <c r="P94" t="str">
        <f t="shared" si="9"/>
        <v>Active</v>
      </c>
    </row>
    <row r="95" spans="1:16" x14ac:dyDescent="0.35">
      <c r="A95" t="s">
        <v>140</v>
      </c>
      <c r="B95" s="5" t="s">
        <v>22</v>
      </c>
      <c r="C95" s="5" t="s">
        <v>39</v>
      </c>
      <c r="D95" s="5" t="str">
        <f t="shared" si="10"/>
        <v>Thomas Miller</v>
      </c>
      <c r="E95" t="s">
        <v>27</v>
      </c>
      <c r="F95" t="str">
        <f>VLOOKUP(E95,Lookup_Departments!$A$2:$B$7,2,FALSE)</f>
        <v>Operations</v>
      </c>
      <c r="G95" s="2">
        <v>43112</v>
      </c>
      <c r="H95" s="2">
        <f t="shared" ca="1" si="6"/>
        <v>46208</v>
      </c>
      <c r="I95" s="6">
        <f t="shared" ca="1" si="11"/>
        <v>8</v>
      </c>
      <c r="J95" s="3">
        <v>67414</v>
      </c>
      <c r="K95" s="8">
        <f>VLOOKUP(O95,Lookup_Performance!$C$1:$D$6,2,FALSE)</f>
        <v>0.05</v>
      </c>
      <c r="L95" s="3">
        <f t="shared" si="7"/>
        <v>3370.7000000000003</v>
      </c>
      <c r="M95" s="4">
        <v>84</v>
      </c>
      <c r="N95" s="5" t="s">
        <v>24</v>
      </c>
      <c r="O95" s="6" t="str">
        <f t="shared" si="8"/>
        <v>Achieving</v>
      </c>
      <c r="P95" t="str">
        <f t="shared" si="9"/>
        <v>Left</v>
      </c>
    </row>
    <row r="96" spans="1:16" x14ac:dyDescent="0.35">
      <c r="A96" t="s">
        <v>141</v>
      </c>
      <c r="B96" s="5" t="s">
        <v>117</v>
      </c>
      <c r="C96" s="5" t="s">
        <v>16</v>
      </c>
      <c r="D96" s="5" t="str">
        <f t="shared" si="10"/>
        <v>William Gonzalez</v>
      </c>
      <c r="E96" t="s">
        <v>36</v>
      </c>
      <c r="F96" t="str">
        <f>VLOOKUP(E96,Lookup_Departments!$A$2:$B$7,2,FALSE)</f>
        <v>Sales</v>
      </c>
      <c r="G96" s="2">
        <v>42008</v>
      </c>
      <c r="H96" s="2">
        <f t="shared" ca="1" si="6"/>
        <v>46208</v>
      </c>
      <c r="I96" s="6">
        <f t="shared" ca="1" si="11"/>
        <v>11</v>
      </c>
      <c r="J96" s="3">
        <v>115288</v>
      </c>
      <c r="K96" s="8">
        <f>VLOOKUP(O96,Lookup_Performance!$C$1:$D$6,2,FALSE)</f>
        <v>0.02</v>
      </c>
      <c r="L96" s="3">
        <f t="shared" si="7"/>
        <v>2305.7600000000002</v>
      </c>
      <c r="M96" s="4">
        <v>61</v>
      </c>
      <c r="N96" s="5" t="s">
        <v>37</v>
      </c>
      <c r="O96" s="6" t="str">
        <f t="shared" si="8"/>
        <v>Developing</v>
      </c>
      <c r="P96" t="str">
        <f t="shared" si="9"/>
        <v>Active</v>
      </c>
    </row>
    <row r="97" spans="1:16" x14ac:dyDescent="0.35">
      <c r="A97" t="s">
        <v>142</v>
      </c>
      <c r="B97" s="5" t="s">
        <v>214</v>
      </c>
      <c r="C97" s="5" t="s">
        <v>23</v>
      </c>
      <c r="D97" s="5" t="str">
        <f t="shared" si="10"/>
        <v>Unknown Smith</v>
      </c>
      <c r="E97" t="s">
        <v>36</v>
      </c>
      <c r="F97" t="str">
        <f>VLOOKUP(E97,Lookup_Departments!$A$2:$B$7,2,FALSE)</f>
        <v>Sales</v>
      </c>
      <c r="G97" s="2">
        <v>43439</v>
      </c>
      <c r="H97" s="2">
        <f t="shared" ca="1" si="6"/>
        <v>46208</v>
      </c>
      <c r="I97" s="6">
        <f t="shared" ca="1" si="11"/>
        <v>7</v>
      </c>
      <c r="J97" s="3">
        <v>80140</v>
      </c>
      <c r="K97" s="8">
        <f>VLOOKUP(O97,Lookup_Performance!$C$1:$D$6,2,FALSE)</f>
        <v>0.02</v>
      </c>
      <c r="L97" s="3">
        <f t="shared" si="7"/>
        <v>1602.8</v>
      </c>
      <c r="M97" s="4">
        <v>58</v>
      </c>
      <c r="N97" s="5" t="s">
        <v>37</v>
      </c>
      <c r="O97" s="6" t="str">
        <f t="shared" si="8"/>
        <v>Developing</v>
      </c>
      <c r="P97" t="str">
        <f t="shared" si="9"/>
        <v>Active</v>
      </c>
    </row>
    <row r="98" spans="1:16" x14ac:dyDescent="0.35">
      <c r="A98" t="s">
        <v>143</v>
      </c>
      <c r="B98" s="5" t="s">
        <v>18</v>
      </c>
      <c r="C98" s="5" t="s">
        <v>26</v>
      </c>
      <c r="D98" s="5" t="str">
        <f t="shared" si="10"/>
        <v>John Johnson</v>
      </c>
      <c r="E98" t="s">
        <v>9</v>
      </c>
      <c r="F98" t="str">
        <f>VLOOKUP(E98,Lookup_Departments!$A$2:$B$7,2,FALSE)</f>
        <v>Information Technology</v>
      </c>
      <c r="G98" s="2">
        <v>44482</v>
      </c>
      <c r="H98" s="2">
        <f t="shared" ca="1" si="6"/>
        <v>46208</v>
      </c>
      <c r="I98" s="6">
        <f t="shared" ca="1" si="11"/>
        <v>4</v>
      </c>
      <c r="J98" s="3">
        <v>73087</v>
      </c>
      <c r="K98" s="8">
        <f>VLOOKUP(O98,Lookup_Performance!$C$1:$D$6,2,FALSE)</f>
        <v>0.02</v>
      </c>
      <c r="L98" s="3">
        <f t="shared" si="7"/>
        <v>1461.74</v>
      </c>
      <c r="M98" s="4">
        <v>69</v>
      </c>
      <c r="N98" s="5" t="s">
        <v>37</v>
      </c>
      <c r="O98" s="6" t="str">
        <f t="shared" si="8"/>
        <v>Developing</v>
      </c>
      <c r="P98" t="str">
        <f t="shared" si="9"/>
        <v>Active</v>
      </c>
    </row>
    <row r="99" spans="1:16" x14ac:dyDescent="0.35">
      <c r="A99" t="s">
        <v>144</v>
      </c>
      <c r="B99" s="5" t="s">
        <v>42</v>
      </c>
      <c r="C99" s="5" t="s">
        <v>26</v>
      </c>
      <c r="D99" s="5" t="str">
        <f t="shared" si="10"/>
        <v>Jane Johnson</v>
      </c>
      <c r="E99" t="s">
        <v>36</v>
      </c>
      <c r="F99" t="str">
        <f>VLOOKUP(E99,Lookup_Departments!$A$2:$B$7,2,FALSE)</f>
        <v>Sales</v>
      </c>
      <c r="G99" s="2">
        <v>44081</v>
      </c>
      <c r="H99" s="2">
        <f t="shared" ca="1" si="6"/>
        <v>46208</v>
      </c>
      <c r="I99" s="6">
        <f t="shared" ca="1" si="11"/>
        <v>5</v>
      </c>
      <c r="J99" s="3">
        <v>95292</v>
      </c>
      <c r="K99" s="8">
        <f>VLOOKUP(O99,Lookup_Performance!$C$1:$D$6,2,FALSE)</f>
        <v>0</v>
      </c>
      <c r="L99" s="3">
        <f t="shared" si="7"/>
        <v>0</v>
      </c>
      <c r="M99" s="4">
        <v>34</v>
      </c>
      <c r="N99" s="5" t="s">
        <v>10</v>
      </c>
      <c r="O99" s="6" t="str">
        <f t="shared" si="8"/>
        <v>Needs Improvement</v>
      </c>
      <c r="P99" t="str">
        <f t="shared" si="9"/>
        <v>Active</v>
      </c>
    </row>
    <row r="100" spans="1:16" x14ac:dyDescent="0.35">
      <c r="A100" t="s">
        <v>145</v>
      </c>
      <c r="B100" s="5" t="s">
        <v>18</v>
      </c>
      <c r="C100" s="5" t="s">
        <v>47</v>
      </c>
      <c r="D100" s="5" t="str">
        <f t="shared" si="10"/>
        <v>John Jones</v>
      </c>
      <c r="E100" t="s">
        <v>9</v>
      </c>
      <c r="F100" t="str">
        <f>VLOOKUP(E100,Lookup_Departments!$A$2:$B$7,2,FALSE)</f>
        <v>Information Technology</v>
      </c>
      <c r="G100" s="2">
        <v>43532</v>
      </c>
      <c r="H100" s="2">
        <f t="shared" ca="1" si="6"/>
        <v>46208</v>
      </c>
      <c r="I100" s="6">
        <f t="shared" ca="1" si="11"/>
        <v>7</v>
      </c>
      <c r="J100" s="3">
        <v>83604</v>
      </c>
      <c r="K100" s="8">
        <f>VLOOKUP(O100,Lookup_Performance!$C$1:$D$6,2,FALSE)</f>
        <v>0</v>
      </c>
      <c r="L100" s="3">
        <f t="shared" si="7"/>
        <v>0</v>
      </c>
      <c r="M100" s="4">
        <v>33</v>
      </c>
      <c r="N100" s="5" t="s">
        <v>10</v>
      </c>
      <c r="O100" s="6" t="str">
        <f t="shared" si="8"/>
        <v>Needs Improvement</v>
      </c>
      <c r="P100" t="str">
        <f t="shared" si="9"/>
        <v>Active</v>
      </c>
    </row>
    <row r="101" spans="1:16" x14ac:dyDescent="0.35">
      <c r="A101" t="s">
        <v>146</v>
      </c>
      <c r="B101" s="5" t="s">
        <v>42</v>
      </c>
      <c r="C101" s="5" t="s">
        <v>55</v>
      </c>
      <c r="D101" s="5" t="str">
        <f t="shared" si="10"/>
        <v>Jane Lopez</v>
      </c>
      <c r="E101" t="s">
        <v>14</v>
      </c>
      <c r="F101" t="str">
        <f>VLOOKUP(E101,Lookup_Departments!$A$2:$B$7,2,FALSE)</f>
        <v>Marketing</v>
      </c>
      <c r="G101" s="2">
        <v>42074</v>
      </c>
      <c r="H101" s="2">
        <f t="shared" ca="1" si="6"/>
        <v>46208</v>
      </c>
      <c r="I101" s="6">
        <f t="shared" ca="1" si="11"/>
        <v>11</v>
      </c>
      <c r="J101" s="3">
        <v>101750</v>
      </c>
      <c r="K101" s="8">
        <f>VLOOKUP(O101,Lookup_Performance!$C$1:$D$6,2,FALSE)</f>
        <v>0.05</v>
      </c>
      <c r="L101" s="3">
        <f t="shared" si="7"/>
        <v>5087.5</v>
      </c>
      <c r="M101" s="4">
        <v>84</v>
      </c>
      <c r="N101" s="5" t="s">
        <v>80</v>
      </c>
      <c r="O101" s="6" t="str">
        <f t="shared" si="8"/>
        <v>Achieving</v>
      </c>
      <c r="P101" t="str">
        <f t="shared" si="9"/>
        <v>Left</v>
      </c>
    </row>
    <row r="102" spans="1:16" x14ac:dyDescent="0.35">
      <c r="A102" t="s">
        <v>147</v>
      </c>
      <c r="B102" s="5" t="s">
        <v>78</v>
      </c>
      <c r="C102" s="5" t="s">
        <v>16</v>
      </c>
      <c r="D102" s="5" t="str">
        <f t="shared" si="10"/>
        <v>Melissa Gonzalez</v>
      </c>
      <c r="E102" t="s">
        <v>14</v>
      </c>
      <c r="F102" t="str">
        <f>VLOOKUP(E102,Lookup_Departments!$A$2:$B$7,2,FALSE)</f>
        <v>Marketing</v>
      </c>
      <c r="G102" s="2">
        <v>42785</v>
      </c>
      <c r="H102" s="2">
        <f t="shared" ca="1" si="6"/>
        <v>46208</v>
      </c>
      <c r="I102" s="6">
        <f t="shared" ca="1" si="11"/>
        <v>9</v>
      </c>
      <c r="J102" s="3">
        <v>82992</v>
      </c>
      <c r="K102" s="8">
        <f>VLOOKUP(O102,Lookup_Performance!$C$1:$D$6,2,FALSE)</f>
        <v>0.05</v>
      </c>
      <c r="L102" s="3">
        <f t="shared" si="7"/>
        <v>4149.6000000000004</v>
      </c>
      <c r="M102" s="4">
        <v>79</v>
      </c>
      <c r="N102" s="5" t="s">
        <v>37</v>
      </c>
      <c r="O102" s="6" t="str">
        <f t="shared" si="8"/>
        <v>Achieving</v>
      </c>
      <c r="P102" t="str">
        <f t="shared" si="9"/>
        <v>Active</v>
      </c>
    </row>
    <row r="103" spans="1:16" x14ac:dyDescent="0.35">
      <c r="A103" t="s">
        <v>148</v>
      </c>
      <c r="B103" s="5" t="s">
        <v>117</v>
      </c>
      <c r="C103" s="5" t="s">
        <v>50</v>
      </c>
      <c r="D103" s="5" t="str">
        <f t="shared" si="10"/>
        <v>William Davis</v>
      </c>
      <c r="E103" t="s">
        <v>9</v>
      </c>
      <c r="F103" t="str">
        <f>VLOOKUP(E103,Lookup_Departments!$A$2:$B$7,2,FALSE)</f>
        <v>Information Technology</v>
      </c>
      <c r="G103" s="2">
        <v>45055</v>
      </c>
      <c r="H103" s="2">
        <f t="shared" ca="1" si="6"/>
        <v>46208</v>
      </c>
      <c r="I103" s="6">
        <f t="shared" ca="1" si="11"/>
        <v>3</v>
      </c>
      <c r="J103" s="3">
        <v>49942</v>
      </c>
      <c r="K103" s="8">
        <f>VLOOKUP(O103,Lookup_Performance!$C$1:$D$6,2,FALSE)</f>
        <v>0.02</v>
      </c>
      <c r="L103" s="3">
        <f t="shared" si="7"/>
        <v>998.84</v>
      </c>
      <c r="M103" s="4">
        <v>51</v>
      </c>
      <c r="N103" s="5" t="s">
        <v>10</v>
      </c>
      <c r="O103" s="6" t="str">
        <f t="shared" si="8"/>
        <v>Developing</v>
      </c>
      <c r="P103" t="str">
        <f t="shared" si="9"/>
        <v>Active</v>
      </c>
    </row>
    <row r="104" spans="1:16" x14ac:dyDescent="0.35">
      <c r="A104" t="s">
        <v>149</v>
      </c>
      <c r="B104" s="5" t="s">
        <v>18</v>
      </c>
      <c r="C104" s="5" t="s">
        <v>23</v>
      </c>
      <c r="D104" s="5" t="str">
        <f t="shared" si="10"/>
        <v>John Smith</v>
      </c>
      <c r="E104" t="s">
        <v>27</v>
      </c>
      <c r="F104" t="str">
        <f>VLOOKUP(E104,Lookup_Departments!$A$2:$B$7,2,FALSE)</f>
        <v>Operations</v>
      </c>
      <c r="G104" s="2">
        <v>43122</v>
      </c>
      <c r="H104" s="2">
        <f t="shared" ca="1" si="6"/>
        <v>46208</v>
      </c>
      <c r="I104" s="6">
        <f t="shared" ca="1" si="11"/>
        <v>8</v>
      </c>
      <c r="J104" s="3">
        <v>89060</v>
      </c>
      <c r="K104" s="8">
        <f>VLOOKUP(O104,Lookup_Performance!$C$1:$D$6,2,FALSE)</f>
        <v>0.02</v>
      </c>
      <c r="L104" s="3">
        <f t="shared" si="7"/>
        <v>1781.2</v>
      </c>
      <c r="M104" s="4">
        <v>58</v>
      </c>
      <c r="N104" s="5" t="s">
        <v>10</v>
      </c>
      <c r="O104" s="6" t="str">
        <f t="shared" si="8"/>
        <v>Developing</v>
      </c>
      <c r="P104" t="str">
        <f t="shared" si="9"/>
        <v>Active</v>
      </c>
    </row>
    <row r="105" spans="1:16" x14ac:dyDescent="0.35">
      <c r="A105" t="s">
        <v>150</v>
      </c>
      <c r="B105" s="5" t="s">
        <v>52</v>
      </c>
      <c r="C105" s="5" t="s">
        <v>16</v>
      </c>
      <c r="D105" s="5" t="str">
        <f t="shared" si="10"/>
        <v>James Gonzalez</v>
      </c>
      <c r="E105" t="s">
        <v>9</v>
      </c>
      <c r="F105" t="str">
        <f>VLOOKUP(E105,Lookup_Departments!$A$2:$B$7,2,FALSE)</f>
        <v>Information Technology</v>
      </c>
      <c r="G105" s="2">
        <v>43879</v>
      </c>
      <c r="H105" s="2">
        <f t="shared" ca="1" si="6"/>
        <v>46208</v>
      </c>
      <c r="I105" s="6">
        <f t="shared" ca="1" si="11"/>
        <v>6</v>
      </c>
      <c r="J105" s="3">
        <v>53786</v>
      </c>
      <c r="K105" s="8">
        <f>VLOOKUP(O105,Lookup_Performance!$C$1:$D$6,2,FALSE)</f>
        <v>0.12</v>
      </c>
      <c r="L105" s="3">
        <f t="shared" si="7"/>
        <v>6454.32</v>
      </c>
      <c r="M105" s="4">
        <v>98</v>
      </c>
      <c r="N105" s="5" t="s">
        <v>37</v>
      </c>
      <c r="O105" s="6" t="str">
        <f t="shared" si="8"/>
        <v>Outstanding</v>
      </c>
      <c r="P105" t="str">
        <f t="shared" si="9"/>
        <v>Active</v>
      </c>
    </row>
    <row r="106" spans="1:16" x14ac:dyDescent="0.35">
      <c r="A106" t="s">
        <v>151</v>
      </c>
      <c r="B106" s="5" t="s">
        <v>7</v>
      </c>
      <c r="C106" s="5" t="s">
        <v>26</v>
      </c>
      <c r="D106" s="5" t="str">
        <f t="shared" si="10"/>
        <v>Emily Johnson</v>
      </c>
      <c r="E106" t="s">
        <v>27</v>
      </c>
      <c r="F106" t="str">
        <f>VLOOKUP(E106,Lookup_Departments!$A$2:$B$7,2,FALSE)</f>
        <v>Operations</v>
      </c>
      <c r="G106" s="2">
        <v>42512</v>
      </c>
      <c r="H106" s="2">
        <f t="shared" ca="1" si="6"/>
        <v>46208</v>
      </c>
      <c r="I106" s="6">
        <f t="shared" ca="1" si="11"/>
        <v>10</v>
      </c>
      <c r="J106" s="3">
        <v>81167</v>
      </c>
      <c r="K106" s="8">
        <f>VLOOKUP(O106,Lookup_Performance!$C$1:$D$6,2,FALSE)</f>
        <v>0.02</v>
      </c>
      <c r="L106" s="3">
        <f t="shared" si="7"/>
        <v>1623.3400000000001</v>
      </c>
      <c r="M106" s="4">
        <v>68</v>
      </c>
      <c r="N106" s="5" t="s">
        <v>37</v>
      </c>
      <c r="O106" s="6" t="str">
        <f t="shared" si="8"/>
        <v>Developing</v>
      </c>
      <c r="P106" t="str">
        <f t="shared" si="9"/>
        <v>Active</v>
      </c>
    </row>
    <row r="107" spans="1:16" x14ac:dyDescent="0.35">
      <c r="A107" t="s">
        <v>152</v>
      </c>
      <c r="B107" s="5" t="s">
        <v>117</v>
      </c>
      <c r="C107" s="5" t="s">
        <v>43</v>
      </c>
      <c r="D107" s="5" t="str">
        <f t="shared" si="10"/>
        <v>William Williams</v>
      </c>
      <c r="E107" t="s">
        <v>14</v>
      </c>
      <c r="F107" t="str">
        <f>VLOOKUP(E107,Lookup_Departments!$A$2:$B$7,2,FALSE)</f>
        <v>Marketing</v>
      </c>
      <c r="G107" s="2">
        <v>44349</v>
      </c>
      <c r="H107" s="2">
        <f t="shared" ca="1" si="6"/>
        <v>46208</v>
      </c>
      <c r="I107" s="6">
        <f t="shared" ca="1" si="11"/>
        <v>5</v>
      </c>
      <c r="J107" s="3">
        <v>66688</v>
      </c>
      <c r="K107" s="8">
        <f>VLOOKUP(O107,Lookup_Performance!$C$1:$D$6,2,FALSE)</f>
        <v>0</v>
      </c>
      <c r="L107" s="3">
        <f t="shared" si="7"/>
        <v>0</v>
      </c>
      <c r="M107" s="4">
        <v>40</v>
      </c>
      <c r="N107" s="5" t="s">
        <v>80</v>
      </c>
      <c r="O107" s="6" t="str">
        <f t="shared" si="8"/>
        <v>Needs Improvement</v>
      </c>
      <c r="P107" t="str">
        <f t="shared" si="9"/>
        <v>Left</v>
      </c>
    </row>
    <row r="108" spans="1:16" x14ac:dyDescent="0.35">
      <c r="A108" t="s">
        <v>153</v>
      </c>
      <c r="B108" s="5" t="s">
        <v>52</v>
      </c>
      <c r="C108" s="5" t="s">
        <v>47</v>
      </c>
      <c r="D108" s="5" t="str">
        <f t="shared" si="10"/>
        <v>James Jones</v>
      </c>
      <c r="E108" t="s">
        <v>9</v>
      </c>
      <c r="F108" t="str">
        <f>VLOOKUP(E108,Lookup_Departments!$A$2:$B$7,2,FALSE)</f>
        <v>Information Technology</v>
      </c>
      <c r="G108" s="2">
        <v>44394</v>
      </c>
      <c r="H108" s="2">
        <f t="shared" ca="1" si="6"/>
        <v>46208</v>
      </c>
      <c r="I108" s="6">
        <f t="shared" ca="1" si="11"/>
        <v>4</v>
      </c>
      <c r="J108" s="3">
        <v>91672</v>
      </c>
      <c r="K108" s="8">
        <f>VLOOKUP(O108,Lookup_Performance!$C$1:$D$6,2,FALSE)</f>
        <v>0.08</v>
      </c>
      <c r="L108" s="3">
        <f t="shared" si="7"/>
        <v>7333.76</v>
      </c>
      <c r="M108" s="4">
        <v>88</v>
      </c>
      <c r="N108" s="5" t="s">
        <v>216</v>
      </c>
      <c r="O108" s="6" t="str">
        <f t="shared" si="8"/>
        <v>Exceeding</v>
      </c>
      <c r="P108" t="str">
        <f t="shared" si="9"/>
        <v>Active</v>
      </c>
    </row>
    <row r="109" spans="1:16" x14ac:dyDescent="0.35">
      <c r="A109" t="s">
        <v>154</v>
      </c>
      <c r="B109" s="5" t="s">
        <v>31</v>
      </c>
      <c r="C109" s="5" t="s">
        <v>16</v>
      </c>
      <c r="D109" s="5" t="str">
        <f t="shared" si="10"/>
        <v>Jessica Gonzalez</v>
      </c>
      <c r="E109" t="s">
        <v>73</v>
      </c>
      <c r="F109" t="str">
        <f>VLOOKUP(E109,Lookup_Departments!$A$2:$B$7,2,FALSE)</f>
        <v>Human Resources</v>
      </c>
      <c r="G109" s="2">
        <v>42687</v>
      </c>
      <c r="H109" s="2">
        <f t="shared" ca="1" si="6"/>
        <v>46208</v>
      </c>
      <c r="I109" s="6">
        <f t="shared" ca="1" si="11"/>
        <v>9</v>
      </c>
      <c r="J109" s="3">
        <v>77737</v>
      </c>
      <c r="K109" s="8">
        <f>VLOOKUP(O109,Lookup_Performance!$C$1:$D$6,2,FALSE)</f>
        <v>0.05</v>
      </c>
      <c r="L109" s="3">
        <f t="shared" si="7"/>
        <v>3886.8500000000004</v>
      </c>
      <c r="M109" s="4">
        <v>77</v>
      </c>
      <c r="N109" s="5" t="s">
        <v>10</v>
      </c>
      <c r="O109" s="6" t="str">
        <f t="shared" si="8"/>
        <v>Achieving</v>
      </c>
      <c r="P109" t="str">
        <f t="shared" si="9"/>
        <v>Active</v>
      </c>
    </row>
    <row r="110" spans="1:16" x14ac:dyDescent="0.35">
      <c r="A110" t="s">
        <v>155</v>
      </c>
      <c r="B110" s="5" t="s">
        <v>71</v>
      </c>
      <c r="C110" s="5" t="s">
        <v>39</v>
      </c>
      <c r="D110" s="5" t="str">
        <f t="shared" si="10"/>
        <v>Sarah Miller</v>
      </c>
      <c r="E110" t="s">
        <v>36</v>
      </c>
      <c r="F110" t="str">
        <f>VLOOKUP(E110,Lookup_Departments!$A$2:$B$7,2,FALSE)</f>
        <v>Sales</v>
      </c>
      <c r="G110" s="2">
        <v>43513</v>
      </c>
      <c r="H110" s="2">
        <f t="shared" ca="1" si="6"/>
        <v>46208</v>
      </c>
      <c r="I110" s="6">
        <f t="shared" ca="1" si="11"/>
        <v>7</v>
      </c>
      <c r="J110" s="3">
        <v>95686</v>
      </c>
      <c r="K110" s="8">
        <f>VLOOKUP(O110,Lookup_Performance!$C$1:$D$6,2,FALSE)</f>
        <v>0.08</v>
      </c>
      <c r="L110" s="3">
        <f t="shared" si="7"/>
        <v>7654.88</v>
      </c>
      <c r="M110" s="4">
        <v>91</v>
      </c>
      <c r="N110" s="5" t="s">
        <v>10</v>
      </c>
      <c r="O110" s="6" t="str">
        <f t="shared" si="8"/>
        <v>Exceeding</v>
      </c>
      <c r="P110" t="str">
        <f t="shared" si="9"/>
        <v>Active</v>
      </c>
    </row>
    <row r="111" spans="1:16" x14ac:dyDescent="0.35">
      <c r="A111" t="s">
        <v>156</v>
      </c>
      <c r="B111" s="5" t="s">
        <v>31</v>
      </c>
      <c r="C111" s="5" t="s">
        <v>23</v>
      </c>
      <c r="D111" s="5" t="str">
        <f t="shared" si="10"/>
        <v>Jessica Smith</v>
      </c>
      <c r="E111" t="s">
        <v>36</v>
      </c>
      <c r="F111" t="str">
        <f>VLOOKUP(E111,Lookup_Departments!$A$2:$B$7,2,FALSE)</f>
        <v>Sales</v>
      </c>
      <c r="G111" s="2">
        <v>42625</v>
      </c>
      <c r="H111" s="2">
        <f t="shared" ca="1" si="6"/>
        <v>46208</v>
      </c>
      <c r="I111" s="6">
        <f t="shared" ca="1" si="11"/>
        <v>9</v>
      </c>
      <c r="J111" s="3">
        <v>114681</v>
      </c>
      <c r="K111" s="8">
        <f>VLOOKUP(O111,Lookup_Performance!$C$1:$D$6,2,FALSE)</f>
        <v>0</v>
      </c>
      <c r="L111" s="3">
        <f t="shared" si="7"/>
        <v>0</v>
      </c>
      <c r="M111" s="4">
        <v>36</v>
      </c>
      <c r="N111" s="5" t="s">
        <v>216</v>
      </c>
      <c r="O111" s="6" t="str">
        <f t="shared" si="8"/>
        <v>Needs Improvement</v>
      </c>
      <c r="P111" t="str">
        <f t="shared" si="9"/>
        <v>Active</v>
      </c>
    </row>
    <row r="112" spans="1:16" x14ac:dyDescent="0.35">
      <c r="A112" t="s">
        <v>157</v>
      </c>
      <c r="B112" s="5" t="s">
        <v>22</v>
      </c>
      <c r="C112" s="5" t="s">
        <v>47</v>
      </c>
      <c r="D112" s="5" t="str">
        <f t="shared" si="10"/>
        <v>Thomas Jones</v>
      </c>
      <c r="E112" t="s">
        <v>27</v>
      </c>
      <c r="F112" t="str">
        <f>VLOOKUP(E112,Lookup_Departments!$A$2:$B$7,2,FALSE)</f>
        <v>Operations</v>
      </c>
      <c r="G112" s="2">
        <v>44421</v>
      </c>
      <c r="H112" s="2">
        <f t="shared" ca="1" si="6"/>
        <v>46208</v>
      </c>
      <c r="I112" s="6">
        <f t="shared" ca="1" si="11"/>
        <v>4</v>
      </c>
      <c r="J112" s="3">
        <v>109121</v>
      </c>
      <c r="K112" s="8">
        <f>VLOOKUP(O112,Lookup_Performance!$C$1:$D$6,2,FALSE)</f>
        <v>0.05</v>
      </c>
      <c r="L112" s="3">
        <f t="shared" si="7"/>
        <v>5456.05</v>
      </c>
      <c r="M112" s="4">
        <v>72</v>
      </c>
      <c r="N112" s="5" t="s">
        <v>37</v>
      </c>
      <c r="O112" s="6" t="str">
        <f t="shared" si="8"/>
        <v>Achieving</v>
      </c>
      <c r="P112" t="str">
        <f t="shared" si="9"/>
        <v>Active</v>
      </c>
    </row>
    <row r="113" spans="1:16" x14ac:dyDescent="0.35">
      <c r="A113" t="s">
        <v>158</v>
      </c>
      <c r="B113" s="5" t="s">
        <v>57</v>
      </c>
      <c r="C113" s="5" t="s">
        <v>8</v>
      </c>
      <c r="D113" s="5" t="str">
        <f t="shared" si="10"/>
        <v>Amanda Brown</v>
      </c>
      <c r="E113" t="s">
        <v>14</v>
      </c>
      <c r="F113" t="str">
        <f>VLOOKUP(E113,Lookup_Departments!$A$2:$B$7,2,FALSE)</f>
        <v>Marketing</v>
      </c>
      <c r="G113" s="2">
        <v>43996</v>
      </c>
      <c r="H113" s="2">
        <f t="shared" ca="1" si="6"/>
        <v>46208</v>
      </c>
      <c r="I113" s="6">
        <f t="shared" ca="1" si="11"/>
        <v>6</v>
      </c>
      <c r="J113" s="3">
        <v>112791</v>
      </c>
      <c r="K113" s="8">
        <f>VLOOKUP(O113,Lookup_Performance!$C$1:$D$6,2,FALSE)</f>
        <v>0.08</v>
      </c>
      <c r="L113" s="3">
        <f t="shared" si="7"/>
        <v>9023.2800000000007</v>
      </c>
      <c r="M113" s="4">
        <v>87</v>
      </c>
      <c r="N113" s="5" t="s">
        <v>10</v>
      </c>
      <c r="O113" s="6" t="str">
        <f t="shared" si="8"/>
        <v>Exceeding</v>
      </c>
      <c r="P113" t="str">
        <f t="shared" si="9"/>
        <v>Active</v>
      </c>
    </row>
    <row r="114" spans="1:16" x14ac:dyDescent="0.35">
      <c r="A114" t="s">
        <v>159</v>
      </c>
      <c r="B114" s="5" t="s">
        <v>46</v>
      </c>
      <c r="C114" s="5" t="s">
        <v>19</v>
      </c>
      <c r="D114" s="5" t="str">
        <f t="shared" si="10"/>
        <v>Robert Martinez</v>
      </c>
      <c r="E114" t="s">
        <v>9</v>
      </c>
      <c r="F114" t="str">
        <f>VLOOKUP(E114,Lookup_Departments!$A$2:$B$7,2,FALSE)</f>
        <v>Information Technology</v>
      </c>
      <c r="G114" s="2">
        <v>44747</v>
      </c>
      <c r="H114" s="2">
        <f t="shared" ca="1" si="6"/>
        <v>46208</v>
      </c>
      <c r="I114" s="6">
        <f t="shared" ca="1" si="11"/>
        <v>4</v>
      </c>
      <c r="J114" s="3">
        <v>118008</v>
      </c>
      <c r="K114" s="8">
        <f>VLOOKUP(O114,Lookup_Performance!$C$1:$D$6,2,FALSE)</f>
        <v>0.05</v>
      </c>
      <c r="L114" s="3">
        <f t="shared" si="7"/>
        <v>5900.4000000000005</v>
      </c>
      <c r="M114" s="4">
        <v>71</v>
      </c>
      <c r="N114" s="5" t="s">
        <v>10</v>
      </c>
      <c r="O114" s="6" t="str">
        <f t="shared" si="8"/>
        <v>Achieving</v>
      </c>
      <c r="P114" t="str">
        <f t="shared" si="9"/>
        <v>Active</v>
      </c>
    </row>
    <row r="115" spans="1:16" x14ac:dyDescent="0.35">
      <c r="A115" t="s">
        <v>160</v>
      </c>
      <c r="B115" s="5" t="s">
        <v>22</v>
      </c>
      <c r="C115" s="5" t="s">
        <v>39</v>
      </c>
      <c r="D115" s="5" t="str">
        <f t="shared" si="10"/>
        <v>Thomas Miller</v>
      </c>
      <c r="E115" t="s">
        <v>9</v>
      </c>
      <c r="F115" t="str">
        <f>VLOOKUP(E115,Lookup_Departments!$A$2:$B$7,2,FALSE)</f>
        <v>Information Technology</v>
      </c>
      <c r="G115" s="2">
        <v>42561</v>
      </c>
      <c r="H115" s="2">
        <f t="shared" ca="1" si="6"/>
        <v>46208</v>
      </c>
      <c r="I115" s="6">
        <f t="shared" ca="1" si="11"/>
        <v>9</v>
      </c>
      <c r="J115" s="3">
        <v>74370</v>
      </c>
      <c r="K115" s="8">
        <f>VLOOKUP(O115,Lookup_Performance!$C$1:$D$6,2,FALSE)</f>
        <v>0.05</v>
      </c>
      <c r="L115" s="3">
        <f t="shared" si="7"/>
        <v>3718.5</v>
      </c>
      <c r="M115" s="4">
        <v>82</v>
      </c>
      <c r="N115" s="5" t="s">
        <v>37</v>
      </c>
      <c r="O115" s="6" t="str">
        <f t="shared" si="8"/>
        <v>Achieving</v>
      </c>
      <c r="P115" t="str">
        <f t="shared" si="9"/>
        <v>Active</v>
      </c>
    </row>
    <row r="116" spans="1:16" x14ac:dyDescent="0.35">
      <c r="A116" t="s">
        <v>161</v>
      </c>
      <c r="B116" s="5" t="s">
        <v>84</v>
      </c>
      <c r="C116" s="5" t="s">
        <v>33</v>
      </c>
      <c r="D116" s="5" t="str">
        <f t="shared" si="10"/>
        <v>David Rodriguez</v>
      </c>
      <c r="E116" t="s">
        <v>9</v>
      </c>
      <c r="F116" t="str">
        <f>VLOOKUP(E116,Lookup_Departments!$A$2:$B$7,2,FALSE)</f>
        <v>Information Technology</v>
      </c>
      <c r="G116" s="2">
        <v>44674</v>
      </c>
      <c r="H116" s="2">
        <f t="shared" ca="1" si="6"/>
        <v>46208</v>
      </c>
      <c r="I116" s="6">
        <f t="shared" ca="1" si="11"/>
        <v>4</v>
      </c>
      <c r="J116" s="3">
        <v>77819</v>
      </c>
      <c r="K116" s="8">
        <f>VLOOKUP(O116,Lookup_Performance!$C$1:$D$6,2,FALSE)</f>
        <v>0.05</v>
      </c>
      <c r="L116" s="3">
        <f t="shared" si="7"/>
        <v>3890.9500000000003</v>
      </c>
      <c r="M116" s="4">
        <v>79</v>
      </c>
      <c r="N116" s="5" t="s">
        <v>216</v>
      </c>
      <c r="O116" s="6" t="str">
        <f t="shared" si="8"/>
        <v>Achieving</v>
      </c>
      <c r="P116" t="str">
        <f t="shared" si="9"/>
        <v>Active</v>
      </c>
    </row>
    <row r="117" spans="1:16" x14ac:dyDescent="0.35">
      <c r="A117" t="s">
        <v>162</v>
      </c>
      <c r="B117" s="5" t="s">
        <v>42</v>
      </c>
      <c r="C117" s="5" t="s">
        <v>39</v>
      </c>
      <c r="D117" s="5" t="str">
        <f t="shared" si="10"/>
        <v>Jane Miller</v>
      </c>
      <c r="E117" t="s">
        <v>14</v>
      </c>
      <c r="F117" t="str">
        <f>VLOOKUP(E117,Lookup_Departments!$A$2:$B$7,2,FALSE)</f>
        <v>Marketing</v>
      </c>
      <c r="G117" s="2">
        <v>42865</v>
      </c>
      <c r="H117" s="2">
        <f t="shared" ca="1" si="6"/>
        <v>46208</v>
      </c>
      <c r="I117" s="6">
        <f t="shared" ca="1" si="11"/>
        <v>9</v>
      </c>
      <c r="J117" s="3">
        <v>48748</v>
      </c>
      <c r="K117" s="8">
        <f>VLOOKUP(O117,Lookup_Performance!$C$1:$D$6,2,FALSE)</f>
        <v>0.05</v>
      </c>
      <c r="L117" s="3">
        <f t="shared" si="7"/>
        <v>2437.4</v>
      </c>
      <c r="M117" s="4">
        <v>83</v>
      </c>
      <c r="N117" s="5" t="s">
        <v>37</v>
      </c>
      <c r="O117" s="6" t="str">
        <f t="shared" si="8"/>
        <v>Achieving</v>
      </c>
      <c r="P117" t="str">
        <f t="shared" si="9"/>
        <v>Active</v>
      </c>
    </row>
    <row r="118" spans="1:16" x14ac:dyDescent="0.35">
      <c r="A118" t="s">
        <v>163</v>
      </c>
      <c r="B118" s="5" t="s">
        <v>52</v>
      </c>
      <c r="C118" s="5" t="s">
        <v>33</v>
      </c>
      <c r="D118" s="5" t="str">
        <f t="shared" si="10"/>
        <v>James Rodriguez</v>
      </c>
      <c r="E118" t="s">
        <v>27</v>
      </c>
      <c r="F118" t="str">
        <f>VLOOKUP(E118,Lookup_Departments!$A$2:$B$7,2,FALSE)</f>
        <v>Operations</v>
      </c>
      <c r="G118" s="2">
        <v>43971</v>
      </c>
      <c r="H118" s="2">
        <f t="shared" ca="1" si="6"/>
        <v>46208</v>
      </c>
      <c r="I118" s="6">
        <f t="shared" ca="1" si="11"/>
        <v>6</v>
      </c>
      <c r="J118" s="3">
        <v>101997</v>
      </c>
      <c r="K118" s="8">
        <f>VLOOKUP(O118,Lookup_Performance!$C$1:$D$6,2,FALSE)</f>
        <v>0</v>
      </c>
      <c r="L118" s="3">
        <f t="shared" si="7"/>
        <v>0</v>
      </c>
      <c r="M118" s="4">
        <v>38</v>
      </c>
      <c r="N118" s="5" t="s">
        <v>86</v>
      </c>
      <c r="O118" s="6" t="str">
        <f t="shared" si="8"/>
        <v>Needs Improvement</v>
      </c>
      <c r="P118" t="str">
        <f t="shared" si="9"/>
        <v>Resigned</v>
      </c>
    </row>
    <row r="119" spans="1:16" x14ac:dyDescent="0.35">
      <c r="A119" t="s">
        <v>164</v>
      </c>
      <c r="B119" s="5" t="s">
        <v>71</v>
      </c>
      <c r="C119" s="5" t="s">
        <v>33</v>
      </c>
      <c r="D119" s="5" t="str">
        <f t="shared" si="10"/>
        <v>Sarah Rodriguez</v>
      </c>
      <c r="E119" t="s">
        <v>73</v>
      </c>
      <c r="F119" t="str">
        <f>VLOOKUP(E119,Lookup_Departments!$A$2:$B$7,2,FALSE)</f>
        <v>Human Resources</v>
      </c>
      <c r="G119" s="2">
        <v>45036</v>
      </c>
      <c r="H119" s="2">
        <f t="shared" ca="1" si="6"/>
        <v>46208</v>
      </c>
      <c r="I119" s="6">
        <f t="shared" ca="1" si="11"/>
        <v>3</v>
      </c>
      <c r="J119" s="3">
        <v>115260</v>
      </c>
      <c r="K119" s="8">
        <f>VLOOKUP(O119,Lookup_Performance!$C$1:$D$6,2,FALSE)</f>
        <v>0.05</v>
      </c>
      <c r="L119" s="3">
        <f t="shared" si="7"/>
        <v>5763</v>
      </c>
      <c r="M119" s="4">
        <v>77</v>
      </c>
      <c r="N119" s="5" t="s">
        <v>37</v>
      </c>
      <c r="O119" s="6" t="str">
        <f t="shared" si="8"/>
        <v>Achieving</v>
      </c>
      <c r="P119" t="str">
        <f t="shared" si="9"/>
        <v>Active</v>
      </c>
    </row>
    <row r="120" spans="1:16" x14ac:dyDescent="0.35">
      <c r="A120" t="s">
        <v>165</v>
      </c>
      <c r="B120" s="5" t="s">
        <v>71</v>
      </c>
      <c r="C120" s="5" t="s">
        <v>29</v>
      </c>
      <c r="D120" s="5" t="str">
        <f t="shared" si="10"/>
        <v>Sarah Wilson</v>
      </c>
      <c r="E120" t="s">
        <v>36</v>
      </c>
      <c r="F120" t="str">
        <f>VLOOKUP(E120,Lookup_Departments!$A$2:$B$7,2,FALSE)</f>
        <v>Sales</v>
      </c>
      <c r="G120" s="2">
        <v>44500</v>
      </c>
      <c r="H120" s="2">
        <f t="shared" ca="1" si="6"/>
        <v>46208</v>
      </c>
      <c r="I120" s="6">
        <f t="shared" ca="1" si="11"/>
        <v>4</v>
      </c>
      <c r="J120" s="3">
        <v>83604</v>
      </c>
      <c r="K120" s="8">
        <f>VLOOKUP(O120,Lookup_Performance!$C$1:$D$6,2,FALSE)</f>
        <v>0</v>
      </c>
      <c r="L120" s="3">
        <f t="shared" si="7"/>
        <v>0</v>
      </c>
      <c r="M120" s="4">
        <v>49</v>
      </c>
      <c r="N120" s="5" t="s">
        <v>10</v>
      </c>
      <c r="O120" s="6" t="str">
        <f t="shared" si="8"/>
        <v>Needs Improvement</v>
      </c>
      <c r="P120" t="str">
        <f t="shared" si="9"/>
        <v>Active</v>
      </c>
    </row>
    <row r="121" spans="1:16" x14ac:dyDescent="0.35">
      <c r="A121" t="s">
        <v>166</v>
      </c>
      <c r="B121" s="5" t="s">
        <v>78</v>
      </c>
      <c r="C121" s="5" t="s">
        <v>8</v>
      </c>
      <c r="D121" s="5" t="str">
        <f t="shared" si="10"/>
        <v>Melissa Brown</v>
      </c>
      <c r="E121" t="s">
        <v>9</v>
      </c>
      <c r="F121" t="str">
        <f>VLOOKUP(E121,Lookup_Departments!$A$2:$B$7,2,FALSE)</f>
        <v>Information Technology</v>
      </c>
      <c r="G121" s="2">
        <v>44493</v>
      </c>
      <c r="H121" s="2">
        <f t="shared" ca="1" si="6"/>
        <v>46208</v>
      </c>
      <c r="I121" s="6">
        <f t="shared" ca="1" si="11"/>
        <v>4</v>
      </c>
      <c r="J121" s="3">
        <v>83604</v>
      </c>
      <c r="K121" s="8">
        <f>VLOOKUP(O121,Lookup_Performance!$C$1:$D$6,2,FALSE)</f>
        <v>0.02</v>
      </c>
      <c r="L121" s="3">
        <f t="shared" si="7"/>
        <v>1672.08</v>
      </c>
      <c r="M121" s="4">
        <v>69</v>
      </c>
      <c r="N121" s="5" t="s">
        <v>80</v>
      </c>
      <c r="O121" s="6" t="str">
        <f t="shared" si="8"/>
        <v>Developing</v>
      </c>
      <c r="P121" t="str">
        <f t="shared" si="9"/>
        <v>Left</v>
      </c>
    </row>
    <row r="122" spans="1:16" x14ac:dyDescent="0.35">
      <c r="A122" t="s">
        <v>167</v>
      </c>
      <c r="B122" s="5" t="s">
        <v>46</v>
      </c>
      <c r="C122" s="5" t="s">
        <v>43</v>
      </c>
      <c r="D122" s="5" t="str">
        <f t="shared" si="10"/>
        <v>Robert Williams</v>
      </c>
      <c r="E122" t="s">
        <v>36</v>
      </c>
      <c r="F122" t="str">
        <f>VLOOKUP(E122,Lookup_Departments!$A$2:$B$7,2,FALSE)</f>
        <v>Sales</v>
      </c>
      <c r="G122" s="2">
        <v>42956</v>
      </c>
      <c r="H122" s="2">
        <f t="shared" ca="1" si="6"/>
        <v>46208</v>
      </c>
      <c r="I122" s="6">
        <f t="shared" ca="1" si="11"/>
        <v>8</v>
      </c>
      <c r="J122" s="3">
        <v>83604</v>
      </c>
      <c r="K122" s="8">
        <f>VLOOKUP(O122,Lookup_Performance!$C$1:$D$6,2,FALSE)</f>
        <v>0.05</v>
      </c>
      <c r="L122" s="3">
        <f t="shared" si="7"/>
        <v>4180.2</v>
      </c>
      <c r="M122" s="4">
        <v>76</v>
      </c>
      <c r="N122" s="5" t="s">
        <v>10</v>
      </c>
      <c r="O122" s="6" t="str">
        <f t="shared" si="8"/>
        <v>Achieving</v>
      </c>
      <c r="P122" t="str">
        <f t="shared" si="9"/>
        <v>Active</v>
      </c>
    </row>
    <row r="123" spans="1:16" x14ac:dyDescent="0.35">
      <c r="A123" t="s">
        <v>168</v>
      </c>
      <c r="B123" s="5" t="s">
        <v>78</v>
      </c>
      <c r="C123" s="5" t="s">
        <v>33</v>
      </c>
      <c r="D123" s="5" t="str">
        <f t="shared" si="10"/>
        <v>Melissa Rodriguez</v>
      </c>
      <c r="E123" t="s">
        <v>27</v>
      </c>
      <c r="F123" t="str">
        <f>VLOOKUP(E123,Lookup_Departments!$A$2:$B$7,2,FALSE)</f>
        <v>Operations</v>
      </c>
      <c r="G123" s="2">
        <v>44930</v>
      </c>
      <c r="H123" s="2">
        <f t="shared" ca="1" si="6"/>
        <v>46208</v>
      </c>
      <c r="I123" s="6">
        <f t="shared" ca="1" si="11"/>
        <v>3</v>
      </c>
      <c r="J123" s="3">
        <v>60623</v>
      </c>
      <c r="K123" s="8">
        <f>VLOOKUP(O123,Lookup_Performance!$C$1:$D$6,2,FALSE)</f>
        <v>0.05</v>
      </c>
      <c r="L123" s="3">
        <f t="shared" si="7"/>
        <v>3031.15</v>
      </c>
      <c r="M123" s="4">
        <v>78</v>
      </c>
      <c r="N123" s="5" t="s">
        <v>37</v>
      </c>
      <c r="O123" s="6" t="str">
        <f t="shared" si="8"/>
        <v>Achieving</v>
      </c>
      <c r="P123" t="str">
        <f t="shared" si="9"/>
        <v>Active</v>
      </c>
    </row>
    <row r="124" spans="1:16" x14ac:dyDescent="0.35">
      <c r="A124" t="s">
        <v>169</v>
      </c>
      <c r="B124" s="5" t="s">
        <v>52</v>
      </c>
      <c r="C124" s="5" t="s">
        <v>26</v>
      </c>
      <c r="D124" s="5" t="str">
        <f t="shared" si="10"/>
        <v>James Johnson</v>
      </c>
      <c r="E124" t="s">
        <v>73</v>
      </c>
      <c r="F124" t="str">
        <f>VLOOKUP(E124,Lookup_Departments!$A$2:$B$7,2,FALSE)</f>
        <v>Human Resources</v>
      </c>
      <c r="G124" s="2">
        <v>44053</v>
      </c>
      <c r="H124" s="2">
        <f t="shared" ca="1" si="6"/>
        <v>46208</v>
      </c>
      <c r="I124" s="6">
        <f t="shared" ca="1" si="11"/>
        <v>5</v>
      </c>
      <c r="J124" s="3">
        <v>68092</v>
      </c>
      <c r="K124" s="8">
        <f>VLOOKUP(O124,Lookup_Performance!$C$1:$D$6,2,FALSE)</f>
        <v>0.08</v>
      </c>
      <c r="L124" s="3">
        <f t="shared" si="7"/>
        <v>5447.36</v>
      </c>
      <c r="M124" s="4">
        <v>93</v>
      </c>
      <c r="N124" s="5" t="s">
        <v>10</v>
      </c>
      <c r="O124" s="6" t="str">
        <f t="shared" si="8"/>
        <v>Exceeding</v>
      </c>
      <c r="P124" t="str">
        <f t="shared" si="9"/>
        <v>Active</v>
      </c>
    </row>
    <row r="125" spans="1:16" x14ac:dyDescent="0.35">
      <c r="A125" t="s">
        <v>170</v>
      </c>
      <c r="B125" s="5" t="s">
        <v>35</v>
      </c>
      <c r="C125" s="5" t="s">
        <v>29</v>
      </c>
      <c r="D125" s="5" t="str">
        <f t="shared" si="10"/>
        <v>Michael Wilson</v>
      </c>
      <c r="E125" t="s">
        <v>14</v>
      </c>
      <c r="F125" t="str">
        <f>VLOOKUP(E125,Lookup_Departments!$A$2:$B$7,2,FALSE)</f>
        <v>Marketing</v>
      </c>
      <c r="G125" s="2">
        <v>44653</v>
      </c>
      <c r="H125" s="2">
        <f t="shared" ca="1" si="6"/>
        <v>46208</v>
      </c>
      <c r="I125" s="6">
        <f t="shared" ca="1" si="11"/>
        <v>4</v>
      </c>
      <c r="J125" s="3">
        <v>88155</v>
      </c>
      <c r="K125" s="8">
        <f>VLOOKUP(O125,Lookup_Performance!$C$1:$D$6,2,FALSE)</f>
        <v>0.02</v>
      </c>
      <c r="L125" s="3">
        <f t="shared" si="7"/>
        <v>1763.1000000000001</v>
      </c>
      <c r="M125" s="4">
        <v>68</v>
      </c>
      <c r="N125" s="5" t="s">
        <v>37</v>
      </c>
      <c r="O125" s="6" t="str">
        <f t="shared" si="8"/>
        <v>Developing</v>
      </c>
      <c r="P125" t="str">
        <f t="shared" si="9"/>
        <v>Active</v>
      </c>
    </row>
    <row r="126" spans="1:16" x14ac:dyDescent="0.35">
      <c r="A126" t="s">
        <v>171</v>
      </c>
      <c r="B126" s="5" t="s">
        <v>117</v>
      </c>
      <c r="C126" s="5" t="s">
        <v>47</v>
      </c>
      <c r="D126" s="5" t="str">
        <f t="shared" si="10"/>
        <v>William Jones</v>
      </c>
      <c r="E126" t="s">
        <v>14</v>
      </c>
      <c r="F126" t="str">
        <f>VLOOKUP(E126,Lookup_Departments!$A$2:$B$7,2,FALSE)</f>
        <v>Marketing</v>
      </c>
      <c r="G126" s="2">
        <v>43183</v>
      </c>
      <c r="H126" s="2">
        <f t="shared" ca="1" si="6"/>
        <v>46208</v>
      </c>
      <c r="I126" s="6">
        <f t="shared" ca="1" si="11"/>
        <v>8</v>
      </c>
      <c r="J126" s="3">
        <v>107903</v>
      </c>
      <c r="K126" s="8">
        <f>VLOOKUP(O126,Lookup_Performance!$C$1:$D$6,2,FALSE)</f>
        <v>0</v>
      </c>
      <c r="L126" s="3">
        <f t="shared" si="7"/>
        <v>0</v>
      </c>
      <c r="M126" s="4">
        <v>42</v>
      </c>
      <c r="N126" s="5" t="s">
        <v>216</v>
      </c>
      <c r="O126" s="6" t="str">
        <f t="shared" si="8"/>
        <v>Needs Improvement</v>
      </c>
      <c r="P126" t="str">
        <f t="shared" si="9"/>
        <v>Active</v>
      </c>
    </row>
    <row r="127" spans="1:16" x14ac:dyDescent="0.35">
      <c r="A127" t="s">
        <v>172</v>
      </c>
      <c r="B127" s="5" t="s">
        <v>117</v>
      </c>
      <c r="C127" s="5" t="s">
        <v>43</v>
      </c>
      <c r="D127" s="5" t="str">
        <f t="shared" si="10"/>
        <v>William Williams</v>
      </c>
      <c r="E127" t="s">
        <v>9</v>
      </c>
      <c r="F127" t="str">
        <f>VLOOKUP(E127,Lookup_Departments!$A$2:$B$7,2,FALSE)</f>
        <v>Information Technology</v>
      </c>
      <c r="G127" s="2">
        <v>43305</v>
      </c>
      <c r="H127" s="2">
        <f t="shared" ca="1" si="6"/>
        <v>46208</v>
      </c>
      <c r="I127" s="6">
        <f t="shared" ca="1" si="11"/>
        <v>7</v>
      </c>
      <c r="J127" s="3">
        <v>62818</v>
      </c>
      <c r="K127" s="8">
        <f>VLOOKUP(O127,Lookup_Performance!$C$1:$D$6,2,FALSE)</f>
        <v>0</v>
      </c>
      <c r="L127" s="3">
        <f t="shared" si="7"/>
        <v>0</v>
      </c>
      <c r="M127" s="4">
        <v>34</v>
      </c>
      <c r="N127" s="5" t="s">
        <v>216</v>
      </c>
      <c r="O127" s="6" t="str">
        <f t="shared" si="8"/>
        <v>Needs Improvement</v>
      </c>
      <c r="P127" t="str">
        <f t="shared" si="9"/>
        <v>Active</v>
      </c>
    </row>
    <row r="128" spans="1:16" x14ac:dyDescent="0.35">
      <c r="A128" t="s">
        <v>173</v>
      </c>
      <c r="B128" s="5" t="s">
        <v>84</v>
      </c>
      <c r="C128" s="5" t="s">
        <v>43</v>
      </c>
      <c r="D128" s="5" t="str">
        <f t="shared" si="10"/>
        <v>David Williams</v>
      </c>
      <c r="E128" t="s">
        <v>73</v>
      </c>
      <c r="F128" t="str">
        <f>VLOOKUP(E128,Lookup_Departments!$A$2:$B$7,2,FALSE)</f>
        <v>Human Resources</v>
      </c>
      <c r="G128" s="2">
        <v>43301</v>
      </c>
      <c r="H128" s="2">
        <f t="shared" ca="1" si="6"/>
        <v>46208</v>
      </c>
      <c r="I128" s="6">
        <f t="shared" ca="1" si="11"/>
        <v>7</v>
      </c>
      <c r="J128" s="3">
        <v>85151</v>
      </c>
      <c r="K128" s="8">
        <f>VLOOKUP(O128,Lookup_Performance!$C$1:$D$6,2,FALSE)</f>
        <v>0</v>
      </c>
      <c r="L128" s="3">
        <f t="shared" si="7"/>
        <v>0</v>
      </c>
      <c r="M128" s="4">
        <v>35</v>
      </c>
      <c r="N128" s="5" t="s">
        <v>216</v>
      </c>
      <c r="O128" s="6" t="str">
        <f t="shared" si="8"/>
        <v>Needs Improvement</v>
      </c>
      <c r="P128" t="str">
        <f t="shared" si="9"/>
        <v>Active</v>
      </c>
    </row>
    <row r="129" spans="1:16" x14ac:dyDescent="0.35">
      <c r="A129" t="s">
        <v>174</v>
      </c>
      <c r="B129" s="5" t="s">
        <v>42</v>
      </c>
      <c r="C129" s="5" t="s">
        <v>50</v>
      </c>
      <c r="D129" s="5" t="str">
        <f t="shared" si="10"/>
        <v>Jane Davis</v>
      </c>
      <c r="E129" t="s">
        <v>20</v>
      </c>
      <c r="F129" t="str">
        <f>VLOOKUP(E129,Lookup_Departments!$A$2:$B$7,2,FALSE)</f>
        <v>Finance</v>
      </c>
      <c r="G129" s="2">
        <v>42433</v>
      </c>
      <c r="H129" s="2">
        <f t="shared" ca="1" si="6"/>
        <v>46208</v>
      </c>
      <c r="I129" s="6">
        <f t="shared" ca="1" si="11"/>
        <v>10</v>
      </c>
      <c r="J129" s="3">
        <v>46390</v>
      </c>
      <c r="K129" s="8">
        <f>VLOOKUP(O129,Lookup_Performance!$C$1:$D$6,2,FALSE)</f>
        <v>0.12</v>
      </c>
      <c r="L129" s="3">
        <f t="shared" si="7"/>
        <v>5566.8</v>
      </c>
      <c r="M129" s="4">
        <v>95</v>
      </c>
      <c r="N129" s="5" t="s">
        <v>37</v>
      </c>
      <c r="O129" s="6" t="str">
        <f t="shared" si="8"/>
        <v>Outstanding</v>
      </c>
      <c r="P129" t="str">
        <f t="shared" si="9"/>
        <v>Active</v>
      </c>
    </row>
    <row r="130" spans="1:16" x14ac:dyDescent="0.35">
      <c r="A130" t="s">
        <v>175</v>
      </c>
      <c r="B130" s="5" t="s">
        <v>18</v>
      </c>
      <c r="C130" s="5" t="s">
        <v>19</v>
      </c>
      <c r="D130" s="5" t="str">
        <f t="shared" si="10"/>
        <v>John Martinez</v>
      </c>
      <c r="E130" t="s">
        <v>73</v>
      </c>
      <c r="F130" t="str">
        <f>VLOOKUP(E130,Lookup_Departments!$A$2:$B$7,2,FALSE)</f>
        <v>Human Resources</v>
      </c>
      <c r="G130" s="2">
        <v>44643</v>
      </c>
      <c r="H130" s="2">
        <f t="shared" ca="1" si="6"/>
        <v>46208</v>
      </c>
      <c r="I130" s="6">
        <f t="shared" ca="1" si="11"/>
        <v>4</v>
      </c>
      <c r="J130" s="3">
        <v>111920</v>
      </c>
      <c r="K130" s="8">
        <f>VLOOKUP(O130,Lookup_Performance!$C$1:$D$6,2,FALSE)</f>
        <v>0.08</v>
      </c>
      <c r="L130" s="3">
        <f t="shared" si="7"/>
        <v>8953.6</v>
      </c>
      <c r="M130" s="4">
        <v>90</v>
      </c>
      <c r="N130" s="5" t="s">
        <v>217</v>
      </c>
      <c r="O130" s="6" t="str">
        <f t="shared" si="8"/>
        <v>Exceeding</v>
      </c>
      <c r="P130" t="str">
        <f t="shared" si="9"/>
        <v>Left</v>
      </c>
    </row>
    <row r="131" spans="1:16" x14ac:dyDescent="0.35">
      <c r="A131" t="s">
        <v>176</v>
      </c>
      <c r="B131" s="5" t="s">
        <v>84</v>
      </c>
      <c r="C131" s="5" t="s">
        <v>101</v>
      </c>
      <c r="D131" s="5" t="str">
        <f t="shared" si="10"/>
        <v>David Anderson</v>
      </c>
      <c r="E131" t="s">
        <v>73</v>
      </c>
      <c r="F131" t="str">
        <f>VLOOKUP(E131,Lookup_Departments!$A$2:$B$7,2,FALSE)</f>
        <v>Human Resources</v>
      </c>
      <c r="G131" s="2">
        <v>42944</v>
      </c>
      <c r="H131" s="2">
        <f t="shared" ref="H131:H151" ca="1" si="12">TODAY()</f>
        <v>46208</v>
      </c>
      <c r="I131" s="6">
        <f t="shared" ca="1" si="11"/>
        <v>8</v>
      </c>
      <c r="J131" s="3">
        <v>115618</v>
      </c>
      <c r="K131" s="8">
        <f>VLOOKUP(O131,Lookup_Performance!$C$1:$D$6,2,FALSE)</f>
        <v>0</v>
      </c>
      <c r="L131" s="3">
        <f t="shared" ref="L131:L151" si="13">J131*K131</f>
        <v>0</v>
      </c>
      <c r="M131" s="4">
        <v>42</v>
      </c>
      <c r="N131" s="5" t="s">
        <v>216</v>
      </c>
      <c r="O131" s="6" t="str">
        <f t="shared" ref="O131:O151" si="14">IF(M131&lt;50, "Needs Improvement", IF(M131&lt;70, "Developing", IF(M131&lt;85, "Achieving", IF(M131&lt;95, "Exceeding", "Outstanding"))))</f>
        <v>Needs Improvement</v>
      </c>
      <c r="P131" t="str">
        <f t="shared" ref="P131:P151" si="15">PROPER(N131)</f>
        <v>Active</v>
      </c>
    </row>
    <row r="132" spans="1:16" x14ac:dyDescent="0.35">
      <c r="A132" t="s">
        <v>177</v>
      </c>
      <c r="B132" s="5" t="s">
        <v>71</v>
      </c>
      <c r="C132" s="5" t="s">
        <v>23</v>
      </c>
      <c r="D132" s="5" t="str">
        <f t="shared" ref="D132:D151" si="16">B132&amp;" "&amp;C132</f>
        <v>Sarah Smith</v>
      </c>
      <c r="E132" t="s">
        <v>36</v>
      </c>
      <c r="F132" t="str">
        <f>VLOOKUP(E132,Lookup_Departments!$A$2:$B$7,2,FALSE)</f>
        <v>Sales</v>
      </c>
      <c r="G132" s="2">
        <v>45057</v>
      </c>
      <c r="H132" s="2">
        <f t="shared" ca="1" si="12"/>
        <v>46208</v>
      </c>
      <c r="I132" s="6">
        <f t="shared" ref="I132:I151" ca="1" si="17">INT(YEARFRAC(G132,H132))</f>
        <v>3</v>
      </c>
      <c r="J132" s="3">
        <v>110618</v>
      </c>
      <c r="K132" s="8">
        <f>VLOOKUP(O132,Lookup_Performance!$C$1:$D$6,2,FALSE)</f>
        <v>0.08</v>
      </c>
      <c r="L132" s="3">
        <f t="shared" si="13"/>
        <v>8849.44</v>
      </c>
      <c r="M132" s="4">
        <v>88</v>
      </c>
      <c r="N132" s="5" t="s">
        <v>86</v>
      </c>
      <c r="O132" s="6" t="str">
        <f t="shared" si="14"/>
        <v>Exceeding</v>
      </c>
      <c r="P132" t="str">
        <f t="shared" si="15"/>
        <v>Resigned</v>
      </c>
    </row>
    <row r="133" spans="1:16" x14ac:dyDescent="0.35">
      <c r="A133" t="s">
        <v>178</v>
      </c>
      <c r="B133" s="5" t="s">
        <v>78</v>
      </c>
      <c r="C133" s="5" t="s">
        <v>13</v>
      </c>
      <c r="D133" s="5" t="str">
        <f t="shared" si="16"/>
        <v>Melissa Hernandez</v>
      </c>
      <c r="E133" t="s">
        <v>27</v>
      </c>
      <c r="F133" t="str">
        <f>VLOOKUP(E133,Lookup_Departments!$A$2:$B$7,2,FALSE)</f>
        <v>Operations</v>
      </c>
      <c r="G133" s="2">
        <v>44639</v>
      </c>
      <c r="H133" s="2">
        <f t="shared" ca="1" si="12"/>
        <v>46208</v>
      </c>
      <c r="I133" s="6">
        <f t="shared" ca="1" si="17"/>
        <v>4</v>
      </c>
      <c r="J133" s="3">
        <v>108395</v>
      </c>
      <c r="K133" s="8">
        <f>VLOOKUP(O133,Lookup_Performance!$C$1:$D$6,2,FALSE)</f>
        <v>0.05</v>
      </c>
      <c r="L133" s="3">
        <f t="shared" si="13"/>
        <v>5419.75</v>
      </c>
      <c r="M133" s="4">
        <v>78</v>
      </c>
      <c r="N133" s="5" t="s">
        <v>24</v>
      </c>
      <c r="O133" s="6" t="str">
        <f t="shared" si="14"/>
        <v>Achieving</v>
      </c>
      <c r="P133" t="str">
        <f t="shared" si="15"/>
        <v>Left</v>
      </c>
    </row>
    <row r="134" spans="1:16" x14ac:dyDescent="0.35">
      <c r="A134" t="s">
        <v>179</v>
      </c>
      <c r="B134" s="5" t="s">
        <v>78</v>
      </c>
      <c r="C134" s="5" t="s">
        <v>26</v>
      </c>
      <c r="D134" s="5" t="str">
        <f t="shared" si="16"/>
        <v>Melissa Johnson</v>
      </c>
      <c r="E134" t="s">
        <v>20</v>
      </c>
      <c r="F134" t="str">
        <f>VLOOKUP(E134,Lookup_Departments!$A$2:$B$7,2,FALSE)</f>
        <v>Finance</v>
      </c>
      <c r="G134" s="2">
        <v>43091</v>
      </c>
      <c r="H134" s="2">
        <f t="shared" ca="1" si="12"/>
        <v>46208</v>
      </c>
      <c r="I134" s="6">
        <f t="shared" ca="1" si="17"/>
        <v>8</v>
      </c>
      <c r="J134" s="3">
        <v>88005</v>
      </c>
      <c r="K134" s="8">
        <f>VLOOKUP(O134,Lookup_Performance!$C$1:$D$6,2,FALSE)</f>
        <v>0.02</v>
      </c>
      <c r="L134" s="3">
        <f t="shared" si="13"/>
        <v>1760.1000000000001</v>
      </c>
      <c r="M134" s="4">
        <v>69</v>
      </c>
      <c r="N134" s="5" t="s">
        <v>37</v>
      </c>
      <c r="O134" s="6" t="str">
        <f t="shared" si="14"/>
        <v>Developing</v>
      </c>
      <c r="P134" t="str">
        <f t="shared" si="15"/>
        <v>Active</v>
      </c>
    </row>
    <row r="135" spans="1:16" x14ac:dyDescent="0.35">
      <c r="A135" t="s">
        <v>180</v>
      </c>
      <c r="B135" s="5" t="s">
        <v>42</v>
      </c>
      <c r="C135" s="5" t="s">
        <v>99</v>
      </c>
      <c r="D135" s="5" t="str">
        <f t="shared" si="16"/>
        <v>Jane Garcia</v>
      </c>
      <c r="E135" t="s">
        <v>14</v>
      </c>
      <c r="F135" t="str">
        <f>VLOOKUP(E135,Lookup_Departments!$A$2:$B$7,2,FALSE)</f>
        <v>Marketing</v>
      </c>
      <c r="G135" s="2">
        <v>44437</v>
      </c>
      <c r="H135" s="2">
        <f t="shared" ca="1" si="12"/>
        <v>46208</v>
      </c>
      <c r="I135" s="6">
        <f t="shared" ca="1" si="17"/>
        <v>4</v>
      </c>
      <c r="J135" s="3">
        <v>83007</v>
      </c>
      <c r="K135" s="8">
        <f>VLOOKUP(O135,Lookup_Performance!$C$1:$D$6,2,FALSE)</f>
        <v>0.05</v>
      </c>
      <c r="L135" s="3">
        <f t="shared" si="13"/>
        <v>4150.3500000000004</v>
      </c>
      <c r="M135" s="4">
        <v>82</v>
      </c>
      <c r="N135" s="5" t="s">
        <v>37</v>
      </c>
      <c r="O135" s="6" t="str">
        <f t="shared" si="14"/>
        <v>Achieving</v>
      </c>
      <c r="P135" t="str">
        <f t="shared" si="15"/>
        <v>Active</v>
      </c>
    </row>
    <row r="136" spans="1:16" x14ac:dyDescent="0.35">
      <c r="A136" t="s">
        <v>181</v>
      </c>
      <c r="B136" s="5" t="s">
        <v>84</v>
      </c>
      <c r="C136" s="5" t="s">
        <v>50</v>
      </c>
      <c r="D136" s="5" t="str">
        <f t="shared" si="16"/>
        <v>David Davis</v>
      </c>
      <c r="E136" t="s">
        <v>9</v>
      </c>
      <c r="F136" t="str">
        <f>VLOOKUP(E136,Lookup_Departments!$A$2:$B$7,2,FALSE)</f>
        <v>Information Technology</v>
      </c>
      <c r="G136" s="2">
        <v>43360</v>
      </c>
      <c r="H136" s="2">
        <f t="shared" ca="1" si="12"/>
        <v>46208</v>
      </c>
      <c r="I136" s="6">
        <f t="shared" ca="1" si="17"/>
        <v>7</v>
      </c>
      <c r="J136" s="3">
        <v>61547</v>
      </c>
      <c r="K136" s="8">
        <f>VLOOKUP(O136,Lookup_Performance!$C$1:$D$6,2,FALSE)</f>
        <v>0.02</v>
      </c>
      <c r="L136" s="3">
        <f t="shared" si="13"/>
        <v>1230.94</v>
      </c>
      <c r="M136" s="4">
        <v>68</v>
      </c>
      <c r="N136" s="5" t="s">
        <v>216</v>
      </c>
      <c r="O136" s="6" t="str">
        <f t="shared" si="14"/>
        <v>Developing</v>
      </c>
      <c r="P136" t="str">
        <f t="shared" si="15"/>
        <v>Active</v>
      </c>
    </row>
    <row r="137" spans="1:16" x14ac:dyDescent="0.35">
      <c r="A137" t="s">
        <v>182</v>
      </c>
      <c r="B137" s="5" t="s">
        <v>52</v>
      </c>
      <c r="C137" s="5" t="s">
        <v>29</v>
      </c>
      <c r="D137" s="5" t="str">
        <f t="shared" si="16"/>
        <v>James Wilson</v>
      </c>
      <c r="E137" t="s">
        <v>36</v>
      </c>
      <c r="F137" t="str">
        <f>VLOOKUP(E137,Lookup_Departments!$A$2:$B$7,2,FALSE)</f>
        <v>Sales</v>
      </c>
      <c r="G137" s="2">
        <v>44375</v>
      </c>
      <c r="H137" s="2">
        <f t="shared" ca="1" si="12"/>
        <v>46208</v>
      </c>
      <c r="I137" s="6">
        <f t="shared" ca="1" si="17"/>
        <v>5</v>
      </c>
      <c r="J137" s="3">
        <v>83604</v>
      </c>
      <c r="K137" s="8">
        <f>VLOOKUP(O137,Lookup_Performance!$C$1:$D$6,2,FALSE)</f>
        <v>0.02</v>
      </c>
      <c r="L137" s="3">
        <f t="shared" si="13"/>
        <v>1672.08</v>
      </c>
      <c r="M137" s="4">
        <v>52</v>
      </c>
      <c r="N137" s="5" t="s">
        <v>37</v>
      </c>
      <c r="O137" s="6" t="str">
        <f t="shared" si="14"/>
        <v>Developing</v>
      </c>
      <c r="P137" t="str">
        <f t="shared" si="15"/>
        <v>Active</v>
      </c>
    </row>
    <row r="138" spans="1:16" x14ac:dyDescent="0.35">
      <c r="A138" t="s">
        <v>183</v>
      </c>
      <c r="B138" s="5" t="s">
        <v>12</v>
      </c>
      <c r="C138" s="5" t="s">
        <v>26</v>
      </c>
      <c r="D138" s="5" t="str">
        <f t="shared" si="16"/>
        <v>Richard Johnson</v>
      </c>
      <c r="E138" t="s">
        <v>27</v>
      </c>
      <c r="F138" t="str">
        <f>VLOOKUP(E138,Lookup_Departments!$A$2:$B$7,2,FALSE)</f>
        <v>Operations</v>
      </c>
      <c r="G138" s="2">
        <v>43011</v>
      </c>
      <c r="H138" s="2">
        <f t="shared" ca="1" si="12"/>
        <v>46208</v>
      </c>
      <c r="I138" s="6">
        <f t="shared" ca="1" si="17"/>
        <v>8</v>
      </c>
      <c r="J138" s="3">
        <v>50399</v>
      </c>
      <c r="K138" s="8">
        <f>VLOOKUP(O138,Lookup_Performance!$C$1:$D$6,2,FALSE)</f>
        <v>0.08</v>
      </c>
      <c r="L138" s="3">
        <f t="shared" si="13"/>
        <v>4031.92</v>
      </c>
      <c r="M138" s="4">
        <v>92</v>
      </c>
      <c r="N138" s="5" t="s">
        <v>80</v>
      </c>
      <c r="O138" s="6" t="str">
        <f t="shared" si="14"/>
        <v>Exceeding</v>
      </c>
      <c r="P138" t="str">
        <f t="shared" si="15"/>
        <v>Left</v>
      </c>
    </row>
    <row r="139" spans="1:16" x14ac:dyDescent="0.35">
      <c r="A139" t="s">
        <v>184</v>
      </c>
      <c r="B139" s="5" t="s">
        <v>12</v>
      </c>
      <c r="C139" s="5" t="s">
        <v>43</v>
      </c>
      <c r="D139" s="5" t="str">
        <f t="shared" si="16"/>
        <v>Richard Williams</v>
      </c>
      <c r="E139" t="s">
        <v>20</v>
      </c>
      <c r="F139" t="str">
        <f>VLOOKUP(E139,Lookup_Departments!$A$2:$B$7,2,FALSE)</f>
        <v>Finance</v>
      </c>
      <c r="G139" s="2">
        <v>42299</v>
      </c>
      <c r="H139" s="2">
        <f t="shared" ca="1" si="12"/>
        <v>46208</v>
      </c>
      <c r="I139" s="6">
        <f t="shared" ca="1" si="17"/>
        <v>10</v>
      </c>
      <c r="J139" s="3">
        <v>83604</v>
      </c>
      <c r="K139" s="8">
        <f>VLOOKUP(O139,Lookup_Performance!$C$1:$D$6,2,FALSE)</f>
        <v>0.02</v>
      </c>
      <c r="L139" s="3">
        <f t="shared" si="13"/>
        <v>1672.08</v>
      </c>
      <c r="M139" s="4">
        <v>62</v>
      </c>
      <c r="N139" s="5" t="s">
        <v>216</v>
      </c>
      <c r="O139" s="6" t="str">
        <f t="shared" si="14"/>
        <v>Developing</v>
      </c>
      <c r="P139" t="str">
        <f t="shared" si="15"/>
        <v>Active</v>
      </c>
    </row>
    <row r="140" spans="1:16" x14ac:dyDescent="0.35">
      <c r="A140" t="s">
        <v>185</v>
      </c>
      <c r="B140" s="5" t="s">
        <v>18</v>
      </c>
      <c r="C140" s="5" t="s">
        <v>13</v>
      </c>
      <c r="D140" s="5" t="str">
        <f t="shared" si="16"/>
        <v>John Hernandez</v>
      </c>
      <c r="E140" t="s">
        <v>27</v>
      </c>
      <c r="F140" t="str">
        <f>VLOOKUP(E140,Lookup_Departments!$A$2:$B$7,2,FALSE)</f>
        <v>Operations</v>
      </c>
      <c r="G140" s="2">
        <v>43257</v>
      </c>
      <c r="H140" s="2">
        <f t="shared" ca="1" si="12"/>
        <v>46208</v>
      </c>
      <c r="I140" s="6">
        <f t="shared" ca="1" si="17"/>
        <v>8</v>
      </c>
      <c r="J140" s="3">
        <v>52720</v>
      </c>
      <c r="K140" s="8">
        <f>VLOOKUP(O140,Lookup_Performance!$C$1:$D$6,2,FALSE)</f>
        <v>0.02</v>
      </c>
      <c r="L140" s="3">
        <f t="shared" si="13"/>
        <v>1054.4000000000001</v>
      </c>
      <c r="M140" s="4">
        <v>68</v>
      </c>
      <c r="N140" s="5" t="s">
        <v>216</v>
      </c>
      <c r="O140" s="6" t="str">
        <f t="shared" si="14"/>
        <v>Developing</v>
      </c>
      <c r="P140" t="str">
        <f t="shared" si="15"/>
        <v>Active</v>
      </c>
    </row>
    <row r="141" spans="1:16" x14ac:dyDescent="0.35">
      <c r="A141" t="s">
        <v>186</v>
      </c>
      <c r="B141" s="5" t="s">
        <v>71</v>
      </c>
      <c r="C141" s="5" t="s">
        <v>16</v>
      </c>
      <c r="D141" s="5" t="str">
        <f t="shared" si="16"/>
        <v>Sarah Gonzalez</v>
      </c>
      <c r="E141" t="s">
        <v>27</v>
      </c>
      <c r="F141" t="str">
        <f>VLOOKUP(E141,Lookup_Departments!$A$2:$B$7,2,FALSE)</f>
        <v>Operations</v>
      </c>
      <c r="G141" s="2">
        <v>42932</v>
      </c>
      <c r="H141" s="2">
        <f t="shared" ca="1" si="12"/>
        <v>46208</v>
      </c>
      <c r="I141" s="6">
        <f t="shared" ca="1" si="17"/>
        <v>8</v>
      </c>
      <c r="J141" s="3">
        <v>65065</v>
      </c>
      <c r="K141" s="8">
        <f>VLOOKUP(O141,Lookup_Performance!$C$1:$D$6,2,FALSE)</f>
        <v>0.12</v>
      </c>
      <c r="L141" s="3">
        <f t="shared" si="13"/>
        <v>7807.7999999999993</v>
      </c>
      <c r="M141" s="4">
        <v>98</v>
      </c>
      <c r="N141" s="5" t="s">
        <v>37</v>
      </c>
      <c r="O141" s="6" t="str">
        <f t="shared" si="14"/>
        <v>Outstanding</v>
      </c>
      <c r="P141" t="str">
        <f t="shared" si="15"/>
        <v>Active</v>
      </c>
    </row>
    <row r="142" spans="1:16" x14ac:dyDescent="0.35">
      <c r="A142" t="s">
        <v>187</v>
      </c>
      <c r="B142" s="5" t="s">
        <v>78</v>
      </c>
      <c r="C142" s="5" t="s">
        <v>13</v>
      </c>
      <c r="D142" s="5" t="str">
        <f t="shared" si="16"/>
        <v>Melissa Hernandez</v>
      </c>
      <c r="E142" t="s">
        <v>36</v>
      </c>
      <c r="F142" t="str">
        <f>VLOOKUP(E142,Lookup_Departments!$A$2:$B$7,2,FALSE)</f>
        <v>Sales</v>
      </c>
      <c r="G142" s="2">
        <v>42175</v>
      </c>
      <c r="H142" s="2">
        <f t="shared" ca="1" si="12"/>
        <v>46208</v>
      </c>
      <c r="I142" s="6">
        <f t="shared" ca="1" si="17"/>
        <v>11</v>
      </c>
      <c r="J142" s="3">
        <v>83604</v>
      </c>
      <c r="K142" s="8">
        <f>VLOOKUP(O142,Lookup_Performance!$C$1:$D$6,2,FALSE)</f>
        <v>0.08</v>
      </c>
      <c r="L142" s="3">
        <f t="shared" si="13"/>
        <v>6688.32</v>
      </c>
      <c r="M142" s="4">
        <v>94</v>
      </c>
      <c r="N142" s="5" t="s">
        <v>86</v>
      </c>
      <c r="O142" s="6" t="str">
        <f t="shared" si="14"/>
        <v>Exceeding</v>
      </c>
      <c r="P142" t="str">
        <f t="shared" si="15"/>
        <v>Resigned</v>
      </c>
    </row>
    <row r="143" spans="1:16" x14ac:dyDescent="0.35">
      <c r="A143" t="s">
        <v>188</v>
      </c>
      <c r="B143" s="5" t="s">
        <v>78</v>
      </c>
      <c r="C143" s="5" t="s">
        <v>13</v>
      </c>
      <c r="D143" s="5" t="str">
        <f t="shared" si="16"/>
        <v>Melissa Hernandez</v>
      </c>
      <c r="E143" t="s">
        <v>27</v>
      </c>
      <c r="F143" t="str">
        <f>VLOOKUP(E143,Lookup_Departments!$A$2:$B$7,2,FALSE)</f>
        <v>Operations</v>
      </c>
      <c r="G143" s="2">
        <v>43609</v>
      </c>
      <c r="H143" s="2">
        <f t="shared" ca="1" si="12"/>
        <v>46208</v>
      </c>
      <c r="I143" s="6">
        <f t="shared" ca="1" si="17"/>
        <v>7</v>
      </c>
      <c r="J143" s="3">
        <v>108119</v>
      </c>
      <c r="K143" s="8">
        <f>VLOOKUP(O143,Lookup_Performance!$C$1:$D$6,2,FALSE)</f>
        <v>0.02</v>
      </c>
      <c r="L143" s="3">
        <f t="shared" si="13"/>
        <v>2162.38</v>
      </c>
      <c r="M143" s="4">
        <v>57</v>
      </c>
      <c r="N143" s="5" t="s">
        <v>86</v>
      </c>
      <c r="O143" s="6" t="str">
        <f t="shared" si="14"/>
        <v>Developing</v>
      </c>
      <c r="P143" t="str">
        <f t="shared" si="15"/>
        <v>Resigned</v>
      </c>
    </row>
    <row r="144" spans="1:16" x14ac:dyDescent="0.35">
      <c r="A144" t="s">
        <v>189</v>
      </c>
      <c r="B144" s="5" t="s">
        <v>18</v>
      </c>
      <c r="C144" s="5" t="s">
        <v>50</v>
      </c>
      <c r="D144" s="5" t="str">
        <f t="shared" si="16"/>
        <v>John Davis</v>
      </c>
      <c r="E144" t="s">
        <v>9</v>
      </c>
      <c r="F144" t="str">
        <f>VLOOKUP(E144,Lookup_Departments!$A$2:$B$7,2,FALSE)</f>
        <v>Information Technology</v>
      </c>
      <c r="G144" s="2">
        <v>43887</v>
      </c>
      <c r="H144" s="2">
        <f t="shared" ca="1" si="12"/>
        <v>46208</v>
      </c>
      <c r="I144" s="6">
        <f t="shared" ca="1" si="17"/>
        <v>6</v>
      </c>
      <c r="J144" s="3">
        <v>83604</v>
      </c>
      <c r="K144" s="8">
        <f>VLOOKUP(O144,Lookup_Performance!$C$1:$D$6,2,FALSE)</f>
        <v>0.12</v>
      </c>
      <c r="L144" s="3">
        <f t="shared" si="13"/>
        <v>10032.48</v>
      </c>
      <c r="M144" s="4">
        <v>96</v>
      </c>
      <c r="N144" s="5" t="s">
        <v>10</v>
      </c>
      <c r="O144" s="6" t="str">
        <f t="shared" si="14"/>
        <v>Outstanding</v>
      </c>
      <c r="P144" t="str">
        <f t="shared" si="15"/>
        <v>Active</v>
      </c>
    </row>
    <row r="145" spans="1:16" x14ac:dyDescent="0.35">
      <c r="A145" t="s">
        <v>190</v>
      </c>
      <c r="B145" s="5" t="s">
        <v>12</v>
      </c>
      <c r="C145" s="5" t="s">
        <v>50</v>
      </c>
      <c r="D145" s="5" t="str">
        <f t="shared" si="16"/>
        <v>Richard Davis</v>
      </c>
      <c r="E145" t="s">
        <v>73</v>
      </c>
      <c r="F145" t="str">
        <f>VLOOKUP(E145,Lookup_Departments!$A$2:$B$7,2,FALSE)</f>
        <v>Human Resources</v>
      </c>
      <c r="G145" s="2">
        <v>44991</v>
      </c>
      <c r="H145" s="2">
        <f t="shared" ca="1" si="12"/>
        <v>46208</v>
      </c>
      <c r="I145" s="6">
        <f t="shared" ca="1" si="17"/>
        <v>3</v>
      </c>
      <c r="J145" s="3">
        <v>106896</v>
      </c>
      <c r="K145" s="8">
        <f>VLOOKUP(O145,Lookup_Performance!$C$1:$D$6,2,FALSE)</f>
        <v>0.02</v>
      </c>
      <c r="L145" s="3">
        <f t="shared" si="13"/>
        <v>2137.92</v>
      </c>
      <c r="M145" s="4">
        <v>52</v>
      </c>
      <c r="N145" s="5" t="s">
        <v>217</v>
      </c>
      <c r="O145" s="6" t="str">
        <f t="shared" si="14"/>
        <v>Developing</v>
      </c>
      <c r="P145" t="str">
        <f t="shared" si="15"/>
        <v>Left</v>
      </c>
    </row>
    <row r="146" spans="1:16" x14ac:dyDescent="0.35">
      <c r="A146" t="s">
        <v>191</v>
      </c>
      <c r="B146" s="5" t="s">
        <v>214</v>
      </c>
      <c r="C146" s="5" t="s">
        <v>47</v>
      </c>
      <c r="D146" s="5" t="str">
        <f t="shared" si="16"/>
        <v>Unknown Jones</v>
      </c>
      <c r="E146" t="s">
        <v>9</v>
      </c>
      <c r="F146" t="str">
        <f>VLOOKUP(E146,Lookup_Departments!$A$2:$B$7,2,FALSE)</f>
        <v>Information Technology</v>
      </c>
      <c r="G146" s="2">
        <v>43477</v>
      </c>
      <c r="H146" s="2">
        <f t="shared" ca="1" si="12"/>
        <v>46208</v>
      </c>
      <c r="I146" s="6">
        <f t="shared" ca="1" si="17"/>
        <v>7</v>
      </c>
      <c r="J146" s="3">
        <v>112887</v>
      </c>
      <c r="K146" s="8">
        <f>VLOOKUP(O146,Lookup_Performance!$C$1:$D$6,2,FALSE)</f>
        <v>0.02</v>
      </c>
      <c r="L146" s="3">
        <f t="shared" si="13"/>
        <v>2257.7400000000002</v>
      </c>
      <c r="M146" s="4">
        <v>59</v>
      </c>
      <c r="N146" s="5" t="s">
        <v>37</v>
      </c>
      <c r="O146" s="6" t="str">
        <f t="shared" si="14"/>
        <v>Developing</v>
      </c>
      <c r="P146" t="str">
        <f t="shared" si="15"/>
        <v>Active</v>
      </c>
    </row>
    <row r="147" spans="1:16" x14ac:dyDescent="0.35">
      <c r="A147" t="s">
        <v>192</v>
      </c>
      <c r="B147" s="5" t="s">
        <v>117</v>
      </c>
      <c r="C147" s="5" t="s">
        <v>33</v>
      </c>
      <c r="D147" s="5" t="str">
        <f t="shared" si="16"/>
        <v>William Rodriguez</v>
      </c>
      <c r="E147" t="s">
        <v>20</v>
      </c>
      <c r="F147" t="str">
        <f>VLOOKUP(E147,Lookup_Departments!$A$2:$B$7,2,FALSE)</f>
        <v>Finance</v>
      </c>
      <c r="G147" s="2">
        <v>45037</v>
      </c>
      <c r="H147" s="2">
        <f t="shared" ca="1" si="12"/>
        <v>46208</v>
      </c>
      <c r="I147" s="6">
        <f t="shared" ca="1" si="17"/>
        <v>3</v>
      </c>
      <c r="J147" s="3">
        <v>85457</v>
      </c>
      <c r="K147" s="8">
        <f>VLOOKUP(O147,Lookup_Performance!$C$1:$D$6,2,FALSE)</f>
        <v>0.05</v>
      </c>
      <c r="L147" s="3">
        <f t="shared" si="13"/>
        <v>4272.8500000000004</v>
      </c>
      <c r="M147" s="4">
        <v>79</v>
      </c>
      <c r="N147" s="5" t="s">
        <v>216</v>
      </c>
      <c r="O147" s="6" t="str">
        <f t="shared" si="14"/>
        <v>Achieving</v>
      </c>
      <c r="P147" t="str">
        <f t="shared" si="15"/>
        <v>Active</v>
      </c>
    </row>
    <row r="148" spans="1:16" x14ac:dyDescent="0.35">
      <c r="A148" t="s">
        <v>193</v>
      </c>
      <c r="B148" s="5" t="s">
        <v>78</v>
      </c>
      <c r="C148" s="5" t="s">
        <v>39</v>
      </c>
      <c r="D148" s="5" t="str">
        <f t="shared" si="16"/>
        <v>Melissa Miller</v>
      </c>
      <c r="E148" t="s">
        <v>36</v>
      </c>
      <c r="F148" t="str">
        <f>VLOOKUP(E148,Lookup_Departments!$A$2:$B$7,2,FALSE)</f>
        <v>Sales</v>
      </c>
      <c r="G148" s="2">
        <v>42519</v>
      </c>
      <c r="H148" s="2">
        <f t="shared" ca="1" si="12"/>
        <v>46208</v>
      </c>
      <c r="I148" s="6">
        <f t="shared" ca="1" si="17"/>
        <v>10</v>
      </c>
      <c r="J148" s="3">
        <v>62798</v>
      </c>
      <c r="K148" s="8">
        <f>VLOOKUP(O148,Lookup_Performance!$C$1:$D$6,2,FALSE)</f>
        <v>0</v>
      </c>
      <c r="L148" s="3">
        <f t="shared" si="13"/>
        <v>0</v>
      </c>
      <c r="M148" s="4">
        <v>30</v>
      </c>
      <c r="N148" s="5" t="s">
        <v>216</v>
      </c>
      <c r="O148" s="6" t="str">
        <f t="shared" si="14"/>
        <v>Needs Improvement</v>
      </c>
      <c r="P148" t="str">
        <f t="shared" si="15"/>
        <v>Active</v>
      </c>
    </row>
    <row r="149" spans="1:16" x14ac:dyDescent="0.35">
      <c r="A149" t="s">
        <v>194</v>
      </c>
      <c r="B149" s="5" t="s">
        <v>7</v>
      </c>
      <c r="C149" s="5" t="s">
        <v>19</v>
      </c>
      <c r="D149" s="5" t="str">
        <f t="shared" si="16"/>
        <v>Emily Martinez</v>
      </c>
      <c r="E149" t="s">
        <v>27</v>
      </c>
      <c r="F149" t="str">
        <f>VLOOKUP(E149,Lookup_Departments!$A$2:$B$7,2,FALSE)</f>
        <v>Operations</v>
      </c>
      <c r="G149" s="2">
        <v>44711</v>
      </c>
      <c r="H149" s="2">
        <f t="shared" ca="1" si="12"/>
        <v>46208</v>
      </c>
      <c r="I149" s="6">
        <f t="shared" ca="1" si="17"/>
        <v>4</v>
      </c>
      <c r="J149" s="3">
        <v>47794</v>
      </c>
      <c r="K149" s="8">
        <f>VLOOKUP(O149,Lookup_Performance!$C$1:$D$6,2,FALSE)</f>
        <v>0.05</v>
      </c>
      <c r="L149" s="3">
        <f t="shared" si="13"/>
        <v>2389.7000000000003</v>
      </c>
      <c r="M149" s="4">
        <v>73</v>
      </c>
      <c r="N149" s="5" t="s">
        <v>217</v>
      </c>
      <c r="O149" s="6" t="str">
        <f t="shared" si="14"/>
        <v>Achieving</v>
      </c>
      <c r="P149" t="str">
        <f t="shared" si="15"/>
        <v>Left</v>
      </c>
    </row>
    <row r="150" spans="1:16" x14ac:dyDescent="0.35">
      <c r="A150" t="s">
        <v>195</v>
      </c>
      <c r="B150" s="5" t="s">
        <v>52</v>
      </c>
      <c r="C150" s="5" t="s">
        <v>33</v>
      </c>
      <c r="D150" s="5" t="str">
        <f t="shared" si="16"/>
        <v>James Rodriguez</v>
      </c>
      <c r="E150" t="s">
        <v>14</v>
      </c>
      <c r="F150" t="str">
        <f>VLOOKUP(E150,Lookup_Departments!$A$2:$B$7,2,FALSE)</f>
        <v>Marketing</v>
      </c>
      <c r="G150" s="2">
        <v>42677</v>
      </c>
      <c r="H150" s="2">
        <f t="shared" ca="1" si="12"/>
        <v>46208</v>
      </c>
      <c r="I150" s="6">
        <f t="shared" ca="1" si="17"/>
        <v>9</v>
      </c>
      <c r="J150" s="3">
        <v>93094</v>
      </c>
      <c r="K150" s="8">
        <f>VLOOKUP(O150,Lookup_Performance!$C$1:$D$6,2,FALSE)</f>
        <v>0.05</v>
      </c>
      <c r="L150" s="3">
        <f t="shared" si="13"/>
        <v>4654.7</v>
      </c>
      <c r="M150" s="4">
        <v>74</v>
      </c>
      <c r="N150" s="5" t="s">
        <v>10</v>
      </c>
      <c r="O150" s="6" t="str">
        <f t="shared" si="14"/>
        <v>Achieving</v>
      </c>
      <c r="P150" t="str">
        <f t="shared" si="15"/>
        <v>Active</v>
      </c>
    </row>
    <row r="151" spans="1:16" x14ac:dyDescent="0.35">
      <c r="A151" t="s">
        <v>196</v>
      </c>
      <c r="B151" s="5" t="s">
        <v>57</v>
      </c>
      <c r="C151" s="5" t="s">
        <v>8</v>
      </c>
      <c r="D151" s="5" t="str">
        <f t="shared" si="16"/>
        <v>Amanda Brown</v>
      </c>
      <c r="E151" t="s">
        <v>9</v>
      </c>
      <c r="F151" t="str">
        <f>VLOOKUP(E151,Lookup_Departments!$A$2:$B$7,2,FALSE)</f>
        <v>Information Technology</v>
      </c>
      <c r="G151" s="2">
        <v>44848</v>
      </c>
      <c r="H151" s="2">
        <f t="shared" ca="1" si="12"/>
        <v>46208</v>
      </c>
      <c r="I151" s="6">
        <f t="shared" ca="1" si="17"/>
        <v>3</v>
      </c>
      <c r="J151" s="3">
        <v>118634</v>
      </c>
      <c r="K151" s="8">
        <f>VLOOKUP(O151,Lookup_Performance!$C$1:$D$6,2,FALSE)</f>
        <v>0.08</v>
      </c>
      <c r="L151" s="3">
        <f t="shared" si="13"/>
        <v>9490.7199999999993</v>
      </c>
      <c r="M151" s="4">
        <v>91</v>
      </c>
      <c r="N151" s="5" t="s">
        <v>216</v>
      </c>
      <c r="O151" s="6" t="str">
        <f t="shared" si="14"/>
        <v>Exceeding</v>
      </c>
      <c r="P151" t="str">
        <f t="shared" si="15"/>
        <v>Active</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3" sqref="B3"/>
    </sheetView>
  </sheetViews>
  <sheetFormatPr defaultRowHeight="14.5" x14ac:dyDescent="0.35"/>
  <sheetData>
    <row r="1" spans="1:2" x14ac:dyDescent="0.35">
      <c r="A1" s="1" t="s">
        <v>197</v>
      </c>
      <c r="B1" s="1" t="s">
        <v>198</v>
      </c>
    </row>
    <row r="2" spans="1:2" x14ac:dyDescent="0.35">
      <c r="A2" t="s">
        <v>73</v>
      </c>
      <c r="B2" t="s">
        <v>199</v>
      </c>
    </row>
    <row r="3" spans="1:2" x14ac:dyDescent="0.35">
      <c r="A3" t="s">
        <v>9</v>
      </c>
      <c r="B3" t="s">
        <v>200</v>
      </c>
    </row>
    <row r="4" spans="1:2" x14ac:dyDescent="0.35">
      <c r="A4" t="s">
        <v>20</v>
      </c>
      <c r="B4" t="s">
        <v>201</v>
      </c>
    </row>
    <row r="5" spans="1:2" x14ac:dyDescent="0.35">
      <c r="A5" t="s">
        <v>14</v>
      </c>
      <c r="B5" t="s">
        <v>202</v>
      </c>
    </row>
    <row r="6" spans="1:2" x14ac:dyDescent="0.35">
      <c r="A6" t="s">
        <v>36</v>
      </c>
      <c r="B6" t="s">
        <v>203</v>
      </c>
    </row>
    <row r="7" spans="1:2" x14ac:dyDescent="0.35">
      <c r="A7" t="s">
        <v>27</v>
      </c>
      <c r="B7" t="s">
        <v>204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1" sqref="D1"/>
    </sheetView>
  </sheetViews>
  <sheetFormatPr defaultRowHeight="14.5" x14ac:dyDescent="0.35"/>
  <sheetData>
    <row r="1" spans="1:4" x14ac:dyDescent="0.35">
      <c r="A1" s="1" t="s">
        <v>205</v>
      </c>
      <c r="B1" s="1" t="s">
        <v>206</v>
      </c>
      <c r="C1" s="1" t="s">
        <v>207</v>
      </c>
      <c r="D1" s="1" t="s">
        <v>208</v>
      </c>
    </row>
    <row r="2" spans="1:4" x14ac:dyDescent="0.35">
      <c r="A2">
        <v>0</v>
      </c>
      <c r="B2">
        <v>49</v>
      </c>
      <c r="C2" t="s">
        <v>209</v>
      </c>
      <c r="D2">
        <v>0</v>
      </c>
    </row>
    <row r="3" spans="1:4" x14ac:dyDescent="0.35">
      <c r="A3">
        <v>50</v>
      </c>
      <c r="B3">
        <v>69</v>
      </c>
      <c r="C3" t="s">
        <v>210</v>
      </c>
      <c r="D3">
        <v>0.02</v>
      </c>
    </row>
    <row r="4" spans="1:4" x14ac:dyDescent="0.35">
      <c r="A4">
        <v>70</v>
      </c>
      <c r="B4">
        <v>84</v>
      </c>
      <c r="C4" t="s">
        <v>211</v>
      </c>
      <c r="D4">
        <v>0.05</v>
      </c>
    </row>
    <row r="5" spans="1:4" x14ac:dyDescent="0.35">
      <c r="A5">
        <v>85</v>
      </c>
      <c r="B5">
        <v>94</v>
      </c>
      <c r="C5" t="s">
        <v>212</v>
      </c>
      <c r="D5">
        <v>0.08</v>
      </c>
    </row>
    <row r="6" spans="1:4" x14ac:dyDescent="0.35">
      <c r="A6">
        <v>95</v>
      </c>
      <c r="B6">
        <v>100</v>
      </c>
      <c r="C6" t="s">
        <v>213</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HR Dashboard</vt:lpstr>
      <vt:lpstr>Raw_Employee_Data</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2026-06-04T20:20:01Z</dcterms:created>
  <dcterms:modified xsi:type="dcterms:W3CDTF">2026-07-05T11:23:59Z</dcterms:modified>
</cp:coreProperties>
</file>